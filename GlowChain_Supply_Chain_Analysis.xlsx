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C:\GlowChain_Supply_Chain_Analysis\"/>
    </mc:Choice>
  </mc:AlternateContent>
  <xr:revisionPtr revIDLastSave="0" documentId="13_ncr:1_{FB663715-5F06-4A76-A9C5-76B1AD72D975}" xr6:coauthVersionLast="36" xr6:coauthVersionMax="36" xr10:uidLastSave="{00000000-0000-0000-0000-000000000000}"/>
  <bookViews>
    <workbookView xWindow="0" yWindow="0" windowWidth="23040" windowHeight="8940" tabRatio="510" firstSheet="1" activeTab="1" xr2:uid="{7FD46847-2EF2-46BE-944E-23ABBC8AEEF3}"/>
  </bookViews>
  <sheets>
    <sheet name="Raw_dataset" sheetId="2" r:id="rId1"/>
    <sheet name="clean_data" sheetId="3" r:id="rId2"/>
    <sheet name="Analysis sheet" sheetId="10" r:id="rId3"/>
    <sheet name="Calculations" sheetId="8" r:id="rId4"/>
    <sheet name="analysis_sheet_2" sheetId="11" r:id="rId5"/>
    <sheet name="dashboard" sheetId="15" r:id="rId6"/>
  </sheets>
  <definedNames>
    <definedName name="ExternalData_1" localSheetId="0" hidden="1">Raw_dataset!$A$1:$X$101</definedName>
    <definedName name="_xlnm.Print_Area" localSheetId="5">dashboard!$A$1:$W$47</definedName>
    <definedName name="Slicer_Product_Type">#N/A</definedName>
    <definedName name="Slicer_Shipping_carriers">#N/A</definedName>
    <definedName name="Slicer_Stock_Risk">#N/A</definedName>
    <definedName name="Slicer_Supplier_name">#N/A</definedName>
    <definedName name="Slicer_Supplier_Performance_Flag">#N/A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101" i="3" l="1"/>
  <c r="B12" i="8" l="1"/>
  <c r="B17" i="8"/>
  <c r="B16" i="8"/>
  <c r="B15" i="8"/>
  <c r="B14" i="8"/>
  <c r="B13" i="8"/>
  <c r="AA3" i="3"/>
  <c r="B18" i="8" s="1"/>
  <c r="AC2" i="3"/>
  <c r="AC12" i="3"/>
  <c r="AE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D2" i="3"/>
  <c r="AF2" i="3" s="1"/>
  <c r="AD3" i="3"/>
  <c r="AF3" i="3" s="1"/>
  <c r="AD4" i="3"/>
  <c r="AF4" i="3" s="1"/>
  <c r="AD5" i="3"/>
  <c r="AF5" i="3" s="1"/>
  <c r="AD6" i="3"/>
  <c r="AF6" i="3" s="1"/>
  <c r="AD7" i="3"/>
  <c r="AF7" i="3" s="1"/>
  <c r="AD8" i="3"/>
  <c r="AF8" i="3" s="1"/>
  <c r="AD9" i="3"/>
  <c r="AF9" i="3" s="1"/>
  <c r="AD10" i="3"/>
  <c r="AF10" i="3" s="1"/>
  <c r="AD11" i="3"/>
  <c r="AF11" i="3" s="1"/>
  <c r="AD12" i="3"/>
  <c r="AF12" i="3" s="1"/>
  <c r="AD13" i="3"/>
  <c r="AF13" i="3" s="1"/>
  <c r="AD14" i="3"/>
  <c r="AF14" i="3" s="1"/>
  <c r="AD15" i="3"/>
  <c r="AF15" i="3" s="1"/>
  <c r="AD16" i="3"/>
  <c r="AF16" i="3" s="1"/>
  <c r="AD17" i="3"/>
  <c r="AF17" i="3" s="1"/>
  <c r="AD18" i="3"/>
  <c r="AF18" i="3" s="1"/>
  <c r="AD19" i="3"/>
  <c r="AF19" i="3" s="1"/>
  <c r="AD20" i="3"/>
  <c r="AF20" i="3" s="1"/>
  <c r="AD21" i="3"/>
  <c r="AF21" i="3" s="1"/>
  <c r="AD22" i="3"/>
  <c r="AF22" i="3" s="1"/>
  <c r="AD23" i="3"/>
  <c r="AF23" i="3" s="1"/>
  <c r="AD24" i="3"/>
  <c r="AF24" i="3" s="1"/>
  <c r="AD25" i="3"/>
  <c r="AF25" i="3" s="1"/>
  <c r="AD26" i="3"/>
  <c r="AF26" i="3" s="1"/>
  <c r="AD27" i="3"/>
  <c r="AF27" i="3" s="1"/>
  <c r="AD28" i="3"/>
  <c r="AF28" i="3" s="1"/>
  <c r="AD29" i="3"/>
  <c r="AF29" i="3" s="1"/>
  <c r="AD30" i="3"/>
  <c r="AF30" i="3" s="1"/>
  <c r="AD31" i="3"/>
  <c r="AF31" i="3" s="1"/>
  <c r="AD32" i="3"/>
  <c r="AF32" i="3" s="1"/>
  <c r="AD33" i="3"/>
  <c r="AF33" i="3" s="1"/>
  <c r="AD34" i="3"/>
  <c r="AF34" i="3" s="1"/>
  <c r="AD35" i="3"/>
  <c r="AF35" i="3" s="1"/>
  <c r="AD36" i="3"/>
  <c r="AF36" i="3" s="1"/>
  <c r="AD37" i="3"/>
  <c r="AF37" i="3" s="1"/>
  <c r="AD38" i="3"/>
  <c r="AF38" i="3" s="1"/>
  <c r="AD39" i="3"/>
  <c r="AF39" i="3" s="1"/>
  <c r="AD40" i="3"/>
  <c r="AF40" i="3" s="1"/>
  <c r="AD41" i="3"/>
  <c r="AF41" i="3" s="1"/>
  <c r="AD42" i="3"/>
  <c r="AF42" i="3" s="1"/>
  <c r="AD43" i="3"/>
  <c r="AF43" i="3" s="1"/>
  <c r="AD44" i="3"/>
  <c r="AF44" i="3" s="1"/>
  <c r="AD45" i="3"/>
  <c r="AF45" i="3" s="1"/>
  <c r="AD46" i="3"/>
  <c r="AF46" i="3" s="1"/>
  <c r="AD47" i="3"/>
  <c r="AF47" i="3" s="1"/>
  <c r="AD48" i="3"/>
  <c r="AF48" i="3" s="1"/>
  <c r="AD49" i="3"/>
  <c r="AF49" i="3" s="1"/>
  <c r="AD50" i="3"/>
  <c r="AF50" i="3" s="1"/>
  <c r="AD51" i="3"/>
  <c r="AF51" i="3" s="1"/>
  <c r="AD52" i="3"/>
  <c r="AF52" i="3" s="1"/>
  <c r="AD53" i="3"/>
  <c r="AF53" i="3" s="1"/>
  <c r="AD54" i="3"/>
  <c r="AF54" i="3" s="1"/>
  <c r="AD55" i="3"/>
  <c r="AF55" i="3" s="1"/>
  <c r="AD56" i="3"/>
  <c r="AF56" i="3" s="1"/>
  <c r="AD57" i="3"/>
  <c r="AF57" i="3" s="1"/>
  <c r="AD58" i="3"/>
  <c r="AF58" i="3" s="1"/>
  <c r="AD59" i="3"/>
  <c r="AF59" i="3" s="1"/>
  <c r="AD60" i="3"/>
  <c r="AF60" i="3" s="1"/>
  <c r="AD61" i="3"/>
  <c r="AF61" i="3" s="1"/>
  <c r="AD62" i="3"/>
  <c r="AF62" i="3" s="1"/>
  <c r="AD63" i="3"/>
  <c r="AF63" i="3" s="1"/>
  <c r="AD64" i="3"/>
  <c r="AF64" i="3" s="1"/>
  <c r="AD65" i="3"/>
  <c r="AF65" i="3" s="1"/>
  <c r="AD66" i="3"/>
  <c r="AF66" i="3" s="1"/>
  <c r="AD67" i="3"/>
  <c r="AF67" i="3" s="1"/>
  <c r="AD68" i="3"/>
  <c r="AF68" i="3" s="1"/>
  <c r="AD69" i="3"/>
  <c r="AF69" i="3" s="1"/>
  <c r="AD70" i="3"/>
  <c r="AF70" i="3" s="1"/>
  <c r="AD71" i="3"/>
  <c r="AF71" i="3" s="1"/>
  <c r="AD72" i="3"/>
  <c r="AF72" i="3" s="1"/>
  <c r="AD73" i="3"/>
  <c r="AF73" i="3" s="1"/>
  <c r="AD74" i="3"/>
  <c r="AF74" i="3" s="1"/>
  <c r="AD75" i="3"/>
  <c r="AF75" i="3" s="1"/>
  <c r="AD76" i="3"/>
  <c r="AF76" i="3" s="1"/>
  <c r="AD77" i="3"/>
  <c r="AF77" i="3" s="1"/>
  <c r="AD78" i="3"/>
  <c r="AF78" i="3" s="1"/>
  <c r="AD79" i="3"/>
  <c r="AF79" i="3" s="1"/>
  <c r="AD80" i="3"/>
  <c r="AF80" i="3" s="1"/>
  <c r="AD81" i="3"/>
  <c r="AF81" i="3" s="1"/>
  <c r="AD82" i="3"/>
  <c r="AF82" i="3" s="1"/>
  <c r="AD83" i="3"/>
  <c r="AF83" i="3" s="1"/>
  <c r="AD84" i="3"/>
  <c r="AF84" i="3" s="1"/>
  <c r="AD85" i="3"/>
  <c r="AF85" i="3" s="1"/>
  <c r="AD86" i="3"/>
  <c r="AF86" i="3" s="1"/>
  <c r="AD87" i="3"/>
  <c r="AF87" i="3" s="1"/>
  <c r="AD88" i="3"/>
  <c r="AF88" i="3" s="1"/>
  <c r="AD89" i="3"/>
  <c r="AF89" i="3" s="1"/>
  <c r="AD90" i="3"/>
  <c r="AF90" i="3" s="1"/>
  <c r="AD91" i="3"/>
  <c r="AF91" i="3" s="1"/>
  <c r="AD92" i="3"/>
  <c r="AF92" i="3" s="1"/>
  <c r="AD93" i="3"/>
  <c r="AF93" i="3" s="1"/>
  <c r="AD94" i="3"/>
  <c r="AF94" i="3" s="1"/>
  <c r="AD95" i="3"/>
  <c r="AF95" i="3" s="1"/>
  <c r="AD96" i="3"/>
  <c r="AF96" i="3" s="1"/>
  <c r="AD97" i="3"/>
  <c r="AF97" i="3" s="1"/>
  <c r="AD98" i="3"/>
  <c r="AF98" i="3" s="1"/>
  <c r="AD99" i="3"/>
  <c r="AF99" i="3" s="1"/>
  <c r="AD100" i="3"/>
  <c r="AF100" i="3" s="1"/>
  <c r="AD101" i="3"/>
  <c r="AF101" i="3" s="1"/>
  <c r="AC3" i="3"/>
  <c r="AC4" i="3"/>
  <c r="AC5" i="3"/>
  <c r="AC6" i="3"/>
  <c r="AC7" i="3"/>
  <c r="AC8" i="3"/>
  <c r="AC9" i="3"/>
  <c r="AC10" i="3"/>
  <c r="AC11"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B2" i="8"/>
  <c r="B3" i="8"/>
  <c r="AB6" i="3" s="1"/>
  <c r="AA2"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Z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Y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AB100" i="3" l="1"/>
  <c r="AB98" i="3"/>
  <c r="AB96" i="3"/>
  <c r="AB94" i="3"/>
  <c r="AB92" i="3"/>
  <c r="AB90" i="3"/>
  <c r="AB88" i="3"/>
  <c r="AB86" i="3"/>
  <c r="AB84" i="3"/>
  <c r="AB82" i="3"/>
  <c r="AB80" i="3"/>
  <c r="AB78" i="3"/>
  <c r="AB76" i="3"/>
  <c r="AB74" i="3"/>
  <c r="AB72" i="3"/>
  <c r="AB70" i="3"/>
  <c r="AB68" i="3"/>
  <c r="AB66" i="3"/>
  <c r="AB64" i="3"/>
  <c r="AB62" i="3"/>
  <c r="AB60" i="3"/>
  <c r="AB58" i="3"/>
  <c r="AB56" i="3"/>
  <c r="AB54" i="3"/>
  <c r="AB52" i="3"/>
  <c r="AB50" i="3"/>
  <c r="AB48" i="3"/>
  <c r="AB46" i="3"/>
  <c r="AB44" i="3"/>
  <c r="AB42" i="3"/>
  <c r="AB40" i="3"/>
  <c r="AB38" i="3"/>
  <c r="AB36" i="3"/>
  <c r="AB34" i="3"/>
  <c r="AB32" i="3"/>
  <c r="AB30" i="3"/>
  <c r="AB28" i="3"/>
  <c r="AB26" i="3"/>
  <c r="AB24" i="3"/>
  <c r="AB22" i="3"/>
  <c r="AB20" i="3"/>
  <c r="AB18" i="3"/>
  <c r="AB16" i="3"/>
  <c r="AB14" i="3"/>
  <c r="AB12" i="3"/>
  <c r="AB10" i="3"/>
  <c r="AB8" i="3"/>
  <c r="AB5" i="3"/>
  <c r="AB3" i="3"/>
  <c r="AB2" i="3"/>
  <c r="AB101" i="3"/>
  <c r="AB99" i="3"/>
  <c r="AB97" i="3"/>
  <c r="AB95" i="3"/>
  <c r="AB93" i="3"/>
  <c r="AB91" i="3"/>
  <c r="AB89" i="3"/>
  <c r="AB87" i="3"/>
  <c r="AB85" i="3"/>
  <c r="AB83" i="3"/>
  <c r="AB81" i="3"/>
  <c r="AB79" i="3"/>
  <c r="AB77" i="3"/>
  <c r="AB75" i="3"/>
  <c r="AB73" i="3"/>
  <c r="AB71" i="3"/>
  <c r="AB69" i="3"/>
  <c r="AB67" i="3"/>
  <c r="AB65" i="3"/>
  <c r="AB63" i="3"/>
  <c r="AB61" i="3"/>
  <c r="AB59" i="3"/>
  <c r="AB57" i="3"/>
  <c r="AB55" i="3"/>
  <c r="AB53" i="3"/>
  <c r="AB51" i="3"/>
  <c r="AB49" i="3"/>
  <c r="AB47" i="3"/>
  <c r="AB45" i="3"/>
  <c r="AB43" i="3"/>
  <c r="AB41" i="3"/>
  <c r="AB39" i="3"/>
  <c r="AB37" i="3"/>
  <c r="AB35" i="3"/>
  <c r="AB33" i="3"/>
  <c r="AB31" i="3"/>
  <c r="AB29" i="3"/>
  <c r="AB27" i="3"/>
  <c r="AB25" i="3"/>
  <c r="AB23" i="3"/>
  <c r="AB21" i="3"/>
  <c r="AB19" i="3"/>
  <c r="AB17" i="3"/>
  <c r="AB15" i="3"/>
  <c r="AB13" i="3"/>
  <c r="AB11" i="3"/>
  <c r="AB9" i="3"/>
  <c r="AB7" i="3"/>
  <c r="AB4" i="3"/>
  <c r="B10"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8278BE-2F10-4E41-B223-8AC66EEFD3C0}" keepAlive="1" name="Query - Analysis sheet 2" description="Connection to the 'Analysis sheet 2' query in the workbook." type="5" refreshedVersion="6" background="1">
    <dbPr connection="Provider=Microsoft.Mashup.OleDb.1;Data Source=$Workbook$;Location=Analysis sheet 2;Extended Properties=&quot;&quot;" command="SELECT * FROM [Analysis sheet 2]"/>
  </connection>
  <connection id="2" xr16:uid="{099F4C63-283E-405F-BE58-B382C56C2BA4}" keepAlive="1" name="Query - supply_chain_data" description="Connection to the 'supply_chain_data' query in the workbook." type="5" refreshedVersion="6" background="1" saveData="1">
    <dbPr connection="Provider=Microsoft.Mashup.OleDb.1;Data Source=$Workbook$;Location=supply_chain_data;Extended Properties=&quot;&quot;" command="SELECT * FROM [supply_chain_data]"/>
  </connection>
  <connection id="3" xr16:uid="{65624F6D-EC25-481A-A2F5-D20AFA01CF7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<sst xmlns="http://schemas.openxmlformats.org/spreadsheetml/2006/main" count="2094" uniqueCount="268">
  <si>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</si>
  <si>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</si>
  <si>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</si>
  <si>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</si>
  <si>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</si>
  <si>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</si>
  <si>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</si>
  <si>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</si>
  <si>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</si>
  <si>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</si>
  <si>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</si>
  <si>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</si>
  <si>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</si>
  <si>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</si>
  <si>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</si>
  <si>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</si>
  <si>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</si>
  <si>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</si>
  <si>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</si>
  <si>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</si>
  <si>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</si>
  <si>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</si>
  <si>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</si>
  <si>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</si>
  <si>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</si>
  <si>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</si>
  <si>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</si>
  <si>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</si>
  <si>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</si>
  <si>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</si>
  <si>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</si>
  <si>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</si>
  <si>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</si>
  <si>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</si>
  <si>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</si>
  <si>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</si>
  <si>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</si>
  <si>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</si>
  <si>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</si>
  <si>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</si>
  <si>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</si>
  <si>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</si>
  <si>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</si>
  <si>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</si>
  <si>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</si>
  <si>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</si>
  <si>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</si>
  <si>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</si>
  <si>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</si>
  <si>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</si>
  <si>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</si>
  <si>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</si>
  <si>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</si>
  <si>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</si>
  <si>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</si>
  <si>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</si>
  <si>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</si>
  <si>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</si>
  <si>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</si>
  <si>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</si>
  <si>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</si>
  <si>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</si>
  <si>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</si>
  <si>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</si>
  <si>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</si>
  <si>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</si>
  <si>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</si>
  <si>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</si>
  <si>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</si>
  <si>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</si>
  <si>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</si>
  <si>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</si>
  <si>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</si>
  <si>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</si>
  <si>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</si>
  <si>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</si>
  <si>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</si>
  <si>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</si>
  <si>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</si>
  <si>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</si>
  <si>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</si>
  <si>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</si>
  <si>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</si>
  <si>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</si>
  <si>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</si>
  <si>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</si>
  <si>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</si>
  <si>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</si>
  <si>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</si>
  <si>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</si>
  <si>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</si>
  <si>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</si>
  <si>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</si>
  <si>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</si>
  <si>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</si>
  <si>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</si>
  <si>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</si>
  <si>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</si>
  <si>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</si>
  <si>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</si>
  <si>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</si>
  <si>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</si>
  <si>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</si>
  <si>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</si>
  <si>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</si>
  <si>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</si>
  <si>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</si>
  <si>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</si>
  <si>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</si>
  <si>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</si>
  <si>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</si>
  <si>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</si>
  <si>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</si>
  <si>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</si>
  <si>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</si>
  <si>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</si>
  <si>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</si>
  <si>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</si>
  <si>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</si>
  <si>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</si>
  <si>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</si>
  <si>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</si>
  <si>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</si>
  <si>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</si>
  <si>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</si>
  <si>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</si>
  <si>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</si>
  <si>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</si>
  <si>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</si>
  <si>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</si>
  <si>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</si>
  <si>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</si>
  <si>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</si>
  <si>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</si>
  <si>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</si>
  <si>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</si>
  <si>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</si>
  <si>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</si>
  <si>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</si>
  <si>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</si>
  <si>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</si>
  <si>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</si>
  <si>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</si>
  <si>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</si>
  <si>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</si>
  <si>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</si>
  <si>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</si>
  <si>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</si>
  <si>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</si>
  <si>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</si>
  <si>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</si>
  <si>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</si>
  <si>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</si>
  <si>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</si>
  <si>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order Lead times</t>
  </si>
  <si>
    <t>Skincare</t>
  </si>
  <si>
    <t>Haircare</t>
  </si>
  <si>
    <t>Cosmetics</t>
  </si>
  <si>
    <t>Product Type</t>
  </si>
  <si>
    <t xml:space="preserve">Profit </t>
  </si>
  <si>
    <t>profit margin %</t>
  </si>
  <si>
    <t>Stock Risk</t>
  </si>
  <si>
    <t>low</t>
  </si>
  <si>
    <t>Adquate</t>
  </si>
  <si>
    <t>Critical</t>
  </si>
  <si>
    <t>Metric</t>
  </si>
  <si>
    <t>Value</t>
  </si>
  <si>
    <t>Revenue 33rd Percentile</t>
  </si>
  <si>
    <t>Revenue 66th Percentile</t>
  </si>
  <si>
    <t>Revenue Tier</t>
  </si>
  <si>
    <t>Defect Category</t>
  </si>
  <si>
    <t>Total Lead Time</t>
  </si>
  <si>
    <t>Shipping Cost Per Unit</t>
  </si>
  <si>
    <t>Column Labels</t>
  </si>
  <si>
    <t>Grand Total</t>
  </si>
  <si>
    <t>Sum of Revenue generated</t>
  </si>
  <si>
    <t>Row Labels</t>
  </si>
  <si>
    <t>Average of profit margin %</t>
  </si>
  <si>
    <t>Units Sold</t>
  </si>
  <si>
    <t>Total Revenue</t>
  </si>
  <si>
    <t xml:space="preserve">Total Profit </t>
  </si>
  <si>
    <t>High Lead Time Threshold:</t>
  </si>
  <si>
    <t>High Defect Threshold:</t>
  </si>
  <si>
    <t>PT1 — Revenue &amp; Sales by Product Type</t>
  </si>
  <si>
    <t>PT2 —Supplier Performance Analysis</t>
  </si>
  <si>
    <t>Manufacturing costs (Avg)</t>
  </si>
  <si>
    <t>Defect rates %</t>
  </si>
  <si>
    <t>Lead days (Avg)</t>
  </si>
  <si>
    <t>Supplier Performance Flag</t>
  </si>
  <si>
    <t>Good</t>
  </si>
  <si>
    <t>Slow</t>
  </si>
  <si>
    <t>Product count</t>
  </si>
  <si>
    <t>PT3 —Inventory &amp; Stock Risk Analysis</t>
  </si>
  <si>
    <t>Count of SKU</t>
  </si>
  <si>
    <t>(All)</t>
  </si>
  <si>
    <t>Total Stock levels</t>
  </si>
  <si>
    <t>Order quantities (Avg)</t>
  </si>
  <si>
    <t>PT4 — Shipping &amp; Logistics Analysis</t>
  </si>
  <si>
    <t>Shipping costs (Avg)</t>
  </si>
  <si>
    <t>Shipping Cost Per Unit (Avg)</t>
  </si>
  <si>
    <t>Shipping times (avg)</t>
  </si>
  <si>
    <t>Total Revenue shipped</t>
  </si>
  <si>
    <t>Shipping times (Avg)</t>
  </si>
  <si>
    <t>No of Products</t>
  </si>
  <si>
    <t xml:space="preserve"> Shipping costs (Avg)</t>
  </si>
  <si>
    <t>PT5 — Quality &amp; Defect Analysis</t>
  </si>
  <si>
    <t>PT5a — Defect Rate by Product Type</t>
  </si>
  <si>
    <t>Average of Defect rates</t>
  </si>
  <si>
    <t>Defect rates (Avg)</t>
  </si>
  <si>
    <t>No of product</t>
  </si>
  <si>
    <t>PT5b — product inpection results</t>
  </si>
  <si>
    <t>Acceptable</t>
  </si>
  <si>
    <t>Excellent</t>
  </si>
  <si>
    <t>PT5C — Inspection Results Summary:</t>
  </si>
  <si>
    <t xml:space="preserve">PT5d — Defect Category by Supplier </t>
  </si>
  <si>
    <t xml:space="preserve"> PT6 — Price vs Volume vs Revenue</t>
  </si>
  <si>
    <t>High</t>
  </si>
  <si>
    <t>Low</t>
  </si>
  <si>
    <t>Medium</t>
  </si>
  <si>
    <t>Total Units Sold</t>
  </si>
  <si>
    <t xml:space="preserve"> Price</t>
  </si>
  <si>
    <t>PT6a — Revenue Tier Performance:</t>
  </si>
  <si>
    <t>PT6b — Price range by Product Type:</t>
  </si>
  <si>
    <t>Avg Price</t>
  </si>
  <si>
    <t>Highest Price</t>
  </si>
  <si>
    <t>Lowest Price</t>
  </si>
  <si>
    <t>Total Units</t>
  </si>
  <si>
    <t>PT6c — Shipping Cost vs Revenue Correlation:</t>
  </si>
  <si>
    <t xml:space="preserve"> Avg profit margin %</t>
  </si>
  <si>
    <t>Supplier Flag Summary</t>
  </si>
  <si>
    <t>Stock Details for Critical Items only</t>
  </si>
  <si>
    <t xml:space="preserve"> profit margin %</t>
  </si>
  <si>
    <t>verage Total Lead Time value</t>
  </si>
  <si>
    <t>no of product</t>
  </si>
  <si>
    <t xml:space="preserve">    </t>
  </si>
  <si>
    <t>PIVOTE TABLES</t>
  </si>
  <si>
    <t xml:space="preserve">PT4c — Carrier by Product Type </t>
  </si>
  <si>
    <t>PT4b — Transportation Mode Analysis (next to PT4a):</t>
  </si>
  <si>
    <t>PT4a — Carrier Cost Comparison:</t>
  </si>
  <si>
    <t>supplier name</t>
  </si>
  <si>
    <t xml:space="preserve">supplier name </t>
  </si>
  <si>
    <t>product type</t>
  </si>
  <si>
    <t>carrier name</t>
  </si>
  <si>
    <t>transport mode</t>
  </si>
  <si>
    <t>carrier</t>
  </si>
  <si>
    <t>inspection result</t>
  </si>
  <si>
    <t>Inpection result</t>
  </si>
  <si>
    <t>Overall Profit Margin</t>
  </si>
  <si>
    <t>Avg Defect Rate</t>
  </si>
  <si>
    <t>Avg Total Lead Time</t>
  </si>
  <si>
    <t>Critical Stock Items</t>
  </si>
  <si>
    <t>Toal Revenue</t>
  </si>
  <si>
    <t xml:space="preserve">Total Cost </t>
  </si>
  <si>
    <t>Avg Shipping Cost/Unit</t>
  </si>
  <si>
    <t>GlowChain Beauty Co. — Supply Chain Performance Dashboard</t>
  </si>
  <si>
    <t>Total Stock</t>
  </si>
  <si>
    <t>Revenue Contribution by Product Type</t>
  </si>
  <si>
    <t>Inventory Risk Distribution</t>
  </si>
  <si>
    <t>Supplier Lead Time Comparison</t>
  </si>
  <si>
    <t>Revenue and Profit Margin by Product Type</t>
  </si>
  <si>
    <t>Shipping Cost Efficiency by Carrier</t>
  </si>
  <si>
    <t>PIVOT TABLES FOR PIVOT CHART</t>
  </si>
  <si>
    <t>Supplier 4 Avg Lead Time (Highest)</t>
  </si>
  <si>
    <t>Supplier 1 Avg Defect Rate % (Lowest)</t>
  </si>
  <si>
    <t>Carrier A Cost Per Unit (Lowest)</t>
  </si>
  <si>
    <t>Carrier B Cost Per Unit (Highest)</t>
  </si>
  <si>
    <t>Revenue by city</t>
  </si>
  <si>
    <t>*Interactive executive dashboard for monitoring revenue, inventory risk, supplier performance, logistics efficiency, and product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</si>
</sst>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0"/>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0"/>
      <color rgb="FF1F1F1F"/>
      <name val="Arial"/>
      <family val="2"/>
    </font>
    <font>
      <sz val="18"/>
      <color theme="4" tint="-0.249977111117893"/>
      <name val="Bahnschrift Light"/>
      <family val="2"/>
    </font>
    <font>
      <sz val="18"/>
      <color theme="4" tint="-0.499984740745262"/>
      <name val="Bahnschrift Light"/>
      <family val="2"/>
    </font>
    <font>
      <sz val="10"/>
      <color rgb="FF000000"/>
      <name val="Calibri"/>
      <family val="2"/>
    </font>
    <font>
      <b/>
      <sz val="10"/>
      <color rgb="FF000000"/>
      <name val="Calibri"/>
      <family val="2"/>
    </font>
  </fonts>
  <fills count="7">
    <fill>
      <patternFill patternType="none"/>
    </fill>
    <fill>
      <patternFill patternType="gray125"/>
    </fill>
    <fill>
      <patternFill patternType="solid">
        <fgColor theme="9" tint="0.79998168889431442"/>
        <bgColor theme="9" tint="0.79998168889431442"/>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s>
  <borders count="11">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top/>
      <bottom style="thin">
        <color theme="9" tint="0.39997558519241921"/>
      </bottom>
      <diagonal/>
    </border>
    <border>
      <left style="thin">
        <color theme="9" tint="0.39997558519241921"/>
      </left>
      <right/>
      <top/>
      <bottom style="thin">
        <color theme="9" tint="0.39997558519241921"/>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73">
    <xf numFmtId="0" fontId="0" fillId="0" borderId="0" xfId="0"/>
    <xf numFmtId="0" fontId="0" fillId="0" borderId="0" xfId="0" applyNumberFormat="1"/>
    <xf numFmtId="0" fontId="0" fillId="2" borderId="1" xfId="0" applyNumberFormat="1" applyFont="1" applyFill="1" applyBorder="1"/>
    <xf numFmtId="0" fontId="0" fillId="2" borderId="2" xfId="0" applyNumberFormat="1" applyFont="1" applyFill="1" applyBorder="1"/>
    <xf numFmtId="0" fontId="0" fillId="2" borderId="2" xfId="0" applyFont="1" applyFill="1" applyBorder="1"/>
    <xf numFmtId="0" fontId="0" fillId="0" borderId="2" xfId="0" applyNumberFormat="1" applyFont="1" applyBorder="1"/>
    <xf numFmtId="0" fontId="0" fillId="0" borderId="2" xfId="0" applyFont="1" applyBorder="1"/>
    <xf numFmtId="0" fontId="0" fillId="2" borderId="4" xfId="0" applyNumberFormat="1" applyFont="1" applyFill="1" applyBorder="1"/>
    <xf numFmtId="0" fontId="0" fillId="2" borderId="5" xfId="0" applyNumberFormat="1" applyFont="1" applyFill="1" applyBorder="1"/>
    <xf numFmtId="0" fontId="0" fillId="2" borderId="5" xfId="0" applyFont="1" applyFill="1" applyBorder="1"/>
    <xf numFmtId="0" fontId="0" fillId="0" borderId="0" xfId="0" applyAlignment="1"/>
    <xf numFmtId="2" fontId="0" fillId="0" borderId="0" xfId="0" applyNumberFormat="1"/>
    <xf numFmtId="0" fontId="0" fillId="2" borderId="8" xfId="0" applyNumberFormat="1" applyFont="1" applyFill="1" applyBorder="1"/>
    <xf numFmtId="0" fontId="0" fillId="0" borderId="2" xfId="0" applyBorder="1"/>
    <xf numFmtId="164" fontId="0" fillId="0" borderId="0" xfId="1" applyNumberFormat="1" applyFont="1"/>
    <xf numFmtId="164" fontId="0" fillId="0" borderId="2" xfId="1" applyNumberFormat="1" applyFont="1" applyBorder="1"/>
    <xf numFmtId="164" fontId="0" fillId="2" borderId="2" xfId="1" applyNumberFormat="1" applyFont="1" applyFill="1" applyBorder="1"/>
    <xf numFmtId="0" fontId="0" fillId="0" borderId="0" xfId="0" applyNumberFormat="1" applyFont="1" applyBorder="1"/>
    <xf numFmtId="164" fontId="0" fillId="0" borderId="0" xfId="1" applyNumberFormat="1" applyFont="1" applyBorder="1"/>
    <xf numFmtId="164" fontId="0" fillId="2" borderId="5" xfId="1" applyNumberFormat="1" applyFont="1" applyFill="1" applyBorder="1"/>
    <xf numFmtId="0" fontId="0" fillId="0" borderId="0" xfId="0" applyFont="1" applyBorder="1"/>
    <xf numFmtId="1" fontId="0" fillId="0" borderId="0" xfId="0" applyNumberFormat="1"/>
    <xf numFmtId="1" fontId="0" fillId="0" borderId="2" xfId="0" applyNumberFormat="1" applyFont="1" applyBorder="1"/>
    <xf numFmtId="1" fontId="0" fillId="2" borderId="2" xfId="0" applyNumberFormat="1" applyFont="1" applyFill="1" applyBorder="1"/>
    <xf numFmtId="1" fontId="0" fillId="0" borderId="2" xfId="0" applyNumberFormat="1" applyBorder="1"/>
    <xf numFmtId="1" fontId="0" fillId="0" borderId="0" xfId="0" applyNumberFormat="1" applyFont="1" applyBorder="1"/>
    <xf numFmtId="164" fontId="0" fillId="0" borderId="0" xfId="0" applyNumberFormat="1"/>
    <xf numFmtId="164" fontId="0" fillId="0" borderId="0" xfId="0" applyNumberFormat="1" applyFont="1" applyBorder="1"/>
    <xf numFmtId="164" fontId="0" fillId="2" borderId="2" xfId="0" applyNumberFormat="1" applyFont="1" applyFill="1" applyBorder="1"/>
    <xf numFmtId="164" fontId="0" fillId="0" borderId="2" xfId="0" applyNumberFormat="1" applyFont="1" applyBorder="1"/>
    <xf numFmtId="164" fontId="0" fillId="0" borderId="2" xfId="0" applyNumberFormat="1" applyBorder="1"/>
    <xf numFmtId="1" fontId="0" fillId="2" borderId="5" xfId="0" applyNumberFormat="1" applyFont="1" applyFill="1" applyBorder="1"/>
    <xf numFmtId="164" fontId="0" fillId="2" borderId="5" xfId="0" applyNumberFormat="1" applyFont="1" applyFill="1" applyBorder="1"/>
    <xf numFmtId="9" fontId="0" fillId="0" borderId="0" xfId="2" applyFont="1"/>
    <xf numFmtId="9" fontId="0" fillId="0" borderId="0" xfId="2" applyFont="1" applyBorder="1"/>
    <xf numFmtId="9" fontId="0" fillId="2" borderId="2" xfId="2" applyFont="1" applyFill="1" applyBorder="1"/>
    <xf numFmtId="9" fontId="0" fillId="0" borderId="2" xfId="2" applyFont="1" applyBorder="1"/>
    <xf numFmtId="9" fontId="0" fillId="2" borderId="5" xfId="2" applyFont="1" applyFill="1" applyBorder="1"/>
    <xf numFmtId="2" fontId="0" fillId="0" borderId="0" xfId="2" applyNumberFormat="1" applyFont="1"/>
    <xf numFmtId="10" fontId="0" fillId="0" borderId="0" xfId="2" applyNumberFormat="1" applyFont="1"/>
    <xf numFmtId="164" fontId="0" fillId="2" borderId="3" xfId="0" applyNumberFormat="1" applyFont="1" applyFill="1" applyBorder="1"/>
    <xf numFmtId="164" fontId="0" fillId="0" borderId="3" xfId="0" applyNumberFormat="1" applyFont="1" applyBorder="1"/>
    <xf numFmtId="164" fontId="0" fillId="0" borderId="3" xfId="0" applyNumberFormat="1" applyBorder="1"/>
    <xf numFmtId="164" fontId="0" fillId="2" borderId="6" xfId="0" applyNumberFormat="1" applyFont="1" applyFill="1" applyBorder="1"/>
    <xf numFmtId="0" fontId="0" fillId="0" borderId="0" xfId="2" applyNumberFormat="1" applyFont="1"/>
    <xf numFmtId="164" fontId="0" fillId="2" borderId="7" xfId="1" applyNumberFormat="1" applyFont="1" applyFill="1" applyBorder="1"/>
    <xf numFmtId="0" fontId="0" fillId="2" borderId="0" xfId="0" applyFont="1" applyFill="1"/>
    <xf numFmtId="9" fontId="0" fillId="2" borderId="0" xfId="2" applyFont="1" applyFill="1"/>
    <xf numFmtId="0" fontId="0" fillId="2" borderId="0" xfId="0" applyNumberFormat="1" applyFont="1" applyFill="1"/>
    <xf numFmtId="164" fontId="0" fillId="2" borderId="0" xfId="0" applyNumberFormat="1" applyFont="1" applyFill="1"/>
    <xf numFmtId="0" fontId="0" fillId="0" borderId="0" xfId="0" pivotButton="1"/>
    <xf numFmtId="0" fontId="2" fillId="3" borderId="9" xfId="0" applyFont="1" applyFill="1" applyBorder="1"/>
    <xf numFmtId="0" fontId="0" fillId="0" borderId="0" xfId="0" applyAlignment="1">
      <alignment horizontal="left"/>
    </xf>
    <xf numFmtId="0" fontId="2" fillId="3" borderId="10" xfId="0" applyFont="1" applyFill="1" applyBorder="1" applyAlignment="1">
      <alignment horizontal="left"/>
    </xf>
    <xf numFmtId="10" fontId="0" fillId="0" borderId="0" xfId="0" applyNumberFormat="1"/>
    <xf numFmtId="1" fontId="2" fillId="3" borderId="10" xfId="0" applyNumberFormat="1" applyFont="1" applyFill="1" applyBorder="1"/>
    <xf numFmtId="9" fontId="0" fillId="0" borderId="0" xfId="0" applyNumberFormat="1"/>
    <xf numFmtId="164" fontId="0" fillId="0" borderId="0" xfId="0" pivotButton="1" applyNumberFormat="1"/>
    <xf numFmtId="0" fontId="0" fillId="5" borderId="0" xfId="0" applyFill="1"/>
    <xf numFmtId="0" fontId="0" fillId="6" borderId="0" xfId="0" applyFill="1"/>
    <xf numFmtId="0" fontId="3" fillId="0" borderId="0" xfId="0" applyFont="1"/>
    <xf numFmtId="9" fontId="0" fillId="0" borderId="0" xfId="2" pivotButton="1" applyFont="1"/>
    <xf numFmtId="0" fontId="6" fillId="0" borderId="0" xfId="0" applyFont="1"/>
    <xf numFmtId="0" fontId="7" fillId="0" borderId="0" xfId="0" applyFont="1"/>
    <xf numFmtId="165" fontId="7" fillId="0" borderId="0" xfId="0" applyNumberFormat="1" applyFont="1"/>
    <xf numFmtId="10" fontId="7" fillId="0" borderId="0" xfId="0" applyNumberFormat="1" applyFont="1"/>
    <xf numFmtId="0" fontId="2" fillId="0" borderId="0" xfId="0" applyFont="1" applyAlignment="1">
      <alignment horizontal="center"/>
    </xf>
    <xf numFmtId="0" fontId="0" fillId="0" borderId="0" xfId="0" applyAlignment="1">
      <alignment horizontal="center"/>
    </xf>
    <xf numFmtId="0" fontId="0" fillId="6" borderId="0" xfId="0" applyFill="1" applyAlignment="1"/>
    <xf numFmtId="0" fontId="0" fillId="0" borderId="0" xfId="0" applyAlignment="1"/>
    <xf numFmtId="0" fontId="0" fillId="0" borderId="0" xfId="0" applyAlignment="1">
      <alignment horizontal="center" vertical="center"/>
    </xf>
    <xf numFmtId="0" fontId="5" fillId="4" borderId="0" xfId="0" applyFont="1" applyFill="1" applyAlignment="1">
      <alignment horizontal="center" vertical="center"/>
    </xf>
    <xf numFmtId="0" fontId="4" fillId="4" borderId="0" xfId="0" applyFont="1" applyFill="1" applyAlignment="1">
      <alignment horizontal="center" vertical="center"/>
    </xf>
  </cellXfs>
  <cellStyles count="3">
    <cellStyle name="Currency" xfId="1" builtinId="4"/>
    <cellStyle name="Normal" xfId="0" builtinId="0"/>
    <cellStyle name="Percent" xfId="2" builtinId="5"/>
  </cellStyles>
  <dxfs count="129">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numFmt numFmtId="1" formatCode="0"/>
    </dxf>
    <dxf>
      <numFmt numFmtId="1" formatCode="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3" formatCode="0%"/>
    </dxf>
    <dxf>
      <numFmt numFmtId="13" formatCode="0%"/>
    </dxf>
    <dxf>
      <numFmt numFmtId="13" formatCode="0%"/>
    </dxf>
    <dxf>
      <numFmt numFmtId="13" formatCode="0%"/>
    </dxf>
    <dxf>
      <numFmt numFmtId="1" formatCode="0"/>
    </dxf>
    <dxf>
      <numFmt numFmtId="1"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64" formatCode="&quot;$&quot;#,##0.00"/>
    </dxf>
    <dxf>
      <numFmt numFmtId="164" formatCode="&quot;$&quot;#,##0.00"/>
    </dxf>
    <dxf>
      <numFmt numFmtId="1" formatCode="0"/>
    </dxf>
    <dxf>
      <numFmt numFmtId="1" formatCode="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2" formatCode="0.00"/>
    </dxf>
    <dxf>
      <numFmt numFmtId="2" formatCode="0.00"/>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 formatCode="0"/>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style="thin">
          <color theme="9" tint="0.39997558519241921"/>
        </bottom>
        <vertical/>
        <horizontal/>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[GlowChain_Supply_Chain_Analysis.xlsx]analysis_sheet_2!PivotTable40</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Contribution by Product Type</a:t>
            </a:r>
            <a:endParaRPr lang="en-US" sz="1800" b="0" i="0" baseline="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glow>
              <a:schemeClr val="accent1">
                <a:alpha val="40000"/>
              </a:schemeClr>
            </a:glow>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a:schemeClr val="accent1">
                <a:alpha val="40000"/>
              </a:schemeClr>
            </a:glow>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a:schemeClr val="accent1">
                <a:alpha val="40000"/>
              </a:schemeClr>
            </a:glow>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glow>
              <a:schemeClr val="accent1">
                <a:alpha val="40000"/>
              </a:schemeClr>
            </a:glow>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a:schemeClr val="accent1">
                <a:alpha val="40000"/>
              </a:schemeClr>
            </a:glow>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22117544357729"/>
          <c:y val="0.26815534776902888"/>
          <c:w val="0.85279820154930963"/>
          <c:h val="0.61128472222222219"/>
        </c:manualLayout>
      </c:layout>
      <c:barChart>
        <c:barDir val="col"/>
        <c:grouping val="clustered"/>
        <c:varyColors val="0"/>
        <c:ser>
          <c:idx val="0"/>
          <c:order val="0"/>
          <c:tx>
            <c:strRef>
              <c:f>analysis_sheet_2!$B$5</c:f>
              <c:strCache>
                <c:ptCount val="1"/>
                <c:pt idx="0">
                  <c:v>Total</c:v>
                </c:pt>
              </c:strCache>
            </c:strRef>
          </c:tx>
          <c:spPr>
            <a:solidFill>
              <a:schemeClr val="accent1"/>
            </a:solidFill>
            <a:ln>
              <a:noFill/>
            </a:ln>
            <a:effectLst>
              <a:glow>
                <a:schemeClr val="accent1">
                  <a:alpha val="40000"/>
                </a:schemeClr>
              </a:glow>
              <a:outerShdw blurRad="50800" dist="50800" dir="5400000" sx="1000" sy="1000" algn="ctr" rotWithShape="0">
                <a:srgbClr val="000000">
                  <a:alpha val="43137"/>
                </a:srgbClr>
              </a:outerShd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analysis_sheet_2!$A$6:$A$9</c:f>
              <c:strCache>
                <c:ptCount val="3"/>
                <c:pt idx="0">
                  <c:v>Skincare</c:v>
                </c:pt>
                <c:pt idx="1">
                  <c:v>Haircare</c:v>
                </c:pt>
                <c:pt idx="2">
                  <c:v>Cosmetics</c:v>
                </c:pt>
              </c:strCache>
            </c:strRef>
          </c:cat>
          <c:val>
            <c:numRef>
              <c:f>analysis_sheet_2!$B$6:$B$9</c:f>
              <c:numCache>
                <c:formatCode>"$"#,##0.00</c:formatCode>
                <c:ptCount val="3"/>
                <c:pt idx="0">
                  <c:v>232435.26597185468</c:v>
                </c:pt>
                <c:pt idx="1">
                  <c:v>190341.78108316276</c:v>
                </c:pt>
                <c:pt idx="2">
                  <c:v>154827.7716829913</c:v>
                </c:pt>
              </c:numCache>
            </c:numRef>
          </c:val>
          <c:extLst>
            <c:ext xmlns:c16="http://schemas.microsoft.com/office/drawing/2014/chart" uri="{C3380CC4-5D6E-409C-BE32-E72D297353CC}">
              <c16:uniqueId val="{00000000-29AE-4E79-9FD5-1FE218FFCE5C}"/>
            </c:ext>
          </c:extLst>
        </c:ser>
        <c:dLbls>
          <c:showLegendKey val="0"/>
          <c:showVal val="0"/>
          <c:showCatName val="0"/>
          <c:showSerName val="0"/>
          <c:showPercent val="0"/>
          <c:showBubbleSize val="0"/>
        </c:dLbls>
        <c:gapWidth val="100"/>
        <c:overlap val="-27"/>
        <c:axId val="1709434656"/>
        <c:axId val="123574240"/>
      </c:barChart>
      <c:catAx>
        <c:axId val="170943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3574240"/>
        <c:crosses val="autoZero"/>
        <c:auto val="1"/>
        <c:lblAlgn val="ctr"/>
        <c:lblOffset val="100"/>
        <c:noMultiLvlLbl val="0"/>
      </c:catAx>
      <c:valAx>
        <c:axId val="123574240"/>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434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03200" dist="50800" dir="54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[GlowChain_Supply_Chain_Analysis.xlsx]analysis_sheet_2!PivotTable42</c:name>
    <c:fmtId val="34"/>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90048118985128"/>
          <c:y val="0.26434832068967878"/>
          <c:w val="0.77553237095363081"/>
          <c:h val="0.62825222891524979"/>
        </c:manualLayout>
      </c:layout>
      <c:barChart>
        <c:barDir val="col"/>
        <c:grouping val="clustered"/>
        <c:varyColors val="0"/>
        <c:ser>
          <c:idx val="0"/>
          <c:order val="0"/>
          <c:tx>
            <c:strRef>
              <c:f>analysis_sheet_2!$H$5</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analysis_sheet_2!$G$6:$G$9</c:f>
              <c:strCache>
                <c:ptCount val="3"/>
                <c:pt idx="0">
                  <c:v>Skincare</c:v>
                </c:pt>
                <c:pt idx="1">
                  <c:v>Haircare</c:v>
                </c:pt>
                <c:pt idx="2">
                  <c:v>Cosmetics</c:v>
                </c:pt>
              </c:strCache>
            </c:strRef>
          </c:cat>
          <c:val>
            <c:numRef>
              <c:f>analysis_sheet_2!$H$6:$H$9</c:f>
              <c:numCache>
                <c:formatCode>"$"#,##0.00</c:formatCode>
                <c:ptCount val="3"/>
                <c:pt idx="0">
                  <c:v>232435.26597185468</c:v>
                </c:pt>
                <c:pt idx="1">
                  <c:v>190341.78108316276</c:v>
                </c:pt>
                <c:pt idx="2">
                  <c:v>154827.7716829913</c:v>
                </c:pt>
              </c:numCache>
            </c:numRef>
          </c:val>
          <c:extLst>
            <c:ext xmlns:c16="http://schemas.microsoft.com/office/drawing/2014/chart" uri="{C3380CC4-5D6E-409C-BE32-E72D297353CC}">
              <c16:uniqueId val="{00000000-2A3F-48D3-B740-E558125648A8}"/>
            </c:ext>
          </c:extLst>
        </c:ser>
        <c:dLbls>
          <c:showLegendKey val="0"/>
          <c:showVal val="0"/>
          <c:showCatName val="0"/>
          <c:showSerName val="0"/>
          <c:showPercent val="0"/>
          <c:showBubbleSize val="0"/>
        </c:dLbls>
        <c:gapWidth val="150"/>
        <c:axId val="1701853680"/>
        <c:axId val="1910743216"/>
      </c:barChart>
      <c:lineChart>
        <c:grouping val="standard"/>
        <c:varyColors val="0"/>
        <c:ser>
          <c:idx val="1"/>
          <c:order val="1"/>
          <c:tx>
            <c:strRef>
              <c:f>analysis_sheet_2!$I$5</c:f>
              <c:strCache>
                <c:ptCount val="1"/>
                <c:pt idx="0">
                  <c:v> profit margin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analysis_sheet_2!$G$6:$G$9</c:f>
              <c:strCache>
                <c:ptCount val="3"/>
                <c:pt idx="0">
                  <c:v>Skincare</c:v>
                </c:pt>
                <c:pt idx="1">
                  <c:v>Haircare</c:v>
                </c:pt>
                <c:pt idx="2">
                  <c:v>Cosmetics</c:v>
                </c:pt>
              </c:strCache>
            </c:strRef>
          </c:cat>
          <c:val>
            <c:numRef>
              <c:f>analysis_sheet_2!$I$6:$I$9</c:f>
              <c:numCache>
                <c:formatCode>0.00%</c:formatCode>
                <c:ptCount val="3"/>
                <c:pt idx="0">
                  <c:v>0.8867610941079459</c:v>
                </c:pt>
                <c:pt idx="1">
                  <c:v>0.85426446121477229</c:v>
                </c:pt>
                <c:pt idx="2">
                  <c:v>0.88187009298210906</c:v>
                </c:pt>
              </c:numCache>
            </c:numRef>
          </c:val>
          <c:smooth val="0"/>
          <c:extLst>
            <c:ext xmlns:c16="http://schemas.microsoft.com/office/drawing/2014/chart" uri="{C3380CC4-5D6E-409C-BE32-E72D297353CC}">
              <c16:uniqueId val="{00000001-2A3F-48D3-B740-E558125648A8}"/>
            </c:ext>
          </c:extLst>
        </c:ser>
        <c:dLbls>
          <c:showLegendKey val="0"/>
          <c:showVal val="0"/>
          <c:showCatName val="0"/>
          <c:showSerName val="0"/>
          <c:showPercent val="0"/>
          <c:showBubbleSize val="0"/>
        </c:dLbls>
        <c:marker val="1"/>
        <c:smooth val="0"/>
        <c:axId val="490950336"/>
        <c:axId val="5396864"/>
      </c:lineChart>
      <c:catAx>
        <c:axId val="170185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10743216"/>
        <c:crosses val="autoZero"/>
        <c:auto val="1"/>
        <c:lblAlgn val="ctr"/>
        <c:lblOffset val="100"/>
        <c:noMultiLvlLbl val="0"/>
      </c:catAx>
      <c:valAx>
        <c:axId val="191074321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853680"/>
        <c:crosses val="autoZero"/>
        <c:crossBetween val="between"/>
      </c:valAx>
      <c:valAx>
        <c:axId val="539686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950336"/>
        <c:crosses val="max"/>
        <c:crossBetween val="between"/>
      </c:valAx>
      <c:catAx>
        <c:axId val="490950336"/>
        <c:scaling>
          <c:orientation val="minMax"/>
        </c:scaling>
        <c:delete val="1"/>
        <c:axPos val="b"/>
        <c:numFmt formatCode="General" sourceLinked="1"/>
        <c:majorTickMark val="out"/>
        <c:minorTickMark val="none"/>
        <c:tickLblPos val="nextTo"/>
        <c:crossAx val="53968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63500" sx="102000" sy="102000" algn="ctr" rotWithShape="0">
        <a:schemeClr val="bg1">
          <a:lumMod val="50000"/>
          <a:alpha val="40000"/>
        </a:scheme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[GlowChain_Supply_Chain_Analysis.xlsx]analysis_sheet_2!PivotTable41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t>Inventory Risk Distribution</a:t>
            </a:r>
            <a:endParaRPr lang="en-US" sz="1600">
              <a:effectLst/>
            </a:endParaRPr>
          </a:p>
        </c:rich>
      </c:tx>
      <c:layout>
        <c:manualLayout>
          <c:xMode val="edge"/>
          <c:yMode val="edge"/>
          <c:x val="0.2499775028121484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outerShdw blurRad="50800" dist="50800" dir="5400000" sx="1000" sy="1000" algn="ctr" rotWithShape="0">
              <a:srgbClr val="000000">
                <a:alpha val="43137"/>
              </a:srgbClr>
            </a:outerShdw>
          </a:effectLst>
        </c:spPr>
      </c:pivotFmt>
      <c:pivotFmt>
        <c:idx val="2"/>
        <c:spPr>
          <a:solidFill>
            <a:srgbClr val="FF0000"/>
          </a:solidFill>
          <a:ln w="19050">
            <a:solidFill>
              <a:schemeClr val="lt1"/>
            </a:solidFill>
          </a:ln>
          <a:effectLst>
            <a:outerShdw blurRad="50800" dist="50800" dir="5400000" sx="1000" sy="1000" algn="ctr" rotWithShape="0">
              <a:srgbClr val="000000">
                <a:alpha val="43137"/>
              </a:srgbClr>
            </a:outerShdw>
          </a:effectLst>
        </c:spPr>
      </c:pivotFmt>
      <c:pivotFmt>
        <c:idx val="3"/>
        <c:spPr>
          <a:solidFill>
            <a:schemeClr val="accent4"/>
          </a:solidFill>
          <a:ln w="19050">
            <a:solidFill>
              <a:schemeClr val="lt1"/>
            </a:solidFill>
          </a:ln>
          <a:effectLst>
            <a:outerShdw blurRad="50800" dist="50800" dir="5400000" sx="1000" sy="1000" algn="ctr" rotWithShape="0">
              <a:srgbClr val="000000">
                <a:alpha val="43137"/>
              </a:srgbClr>
            </a:outerShdw>
          </a:effectLst>
        </c:spPr>
      </c:pivotFmt>
      <c:pivotFmt>
        <c:idx val="4"/>
        <c:spPr>
          <a:solidFill>
            <a:schemeClr val="accent1"/>
          </a:solidFill>
          <a:ln w="19050">
            <a:solidFill>
              <a:schemeClr val="lt1"/>
            </a:solid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a:outerShdw blurRad="50800" dist="50800" dir="5400000" sx="1000" sy="1000" algn="ctr" rotWithShape="0">
              <a:srgbClr val="000000">
                <a:alpha val="43137"/>
              </a:srgbClr>
            </a:outerShdw>
          </a:effectLst>
        </c:spPr>
      </c:pivotFmt>
      <c:pivotFmt>
        <c:idx val="6"/>
        <c:spPr>
          <a:solidFill>
            <a:srgbClr val="FF0000"/>
          </a:solidFill>
          <a:ln w="19050">
            <a:solidFill>
              <a:schemeClr val="lt1"/>
            </a:solidFill>
          </a:ln>
          <a:effectLst>
            <a:outerShdw blurRad="50800" dist="50800" dir="5400000" sx="1000" sy="1000" algn="ctr" rotWithShape="0">
              <a:srgbClr val="000000">
                <a:alpha val="43137"/>
              </a:srgbClr>
            </a:outerShdw>
          </a:effectLst>
        </c:spPr>
      </c:pivotFmt>
      <c:pivotFmt>
        <c:idx val="7"/>
        <c:spPr>
          <a:solidFill>
            <a:schemeClr val="accent4"/>
          </a:solidFill>
          <a:ln w="19050">
            <a:solidFill>
              <a:schemeClr val="lt1"/>
            </a:solidFill>
          </a:ln>
          <a:effectLst>
            <a:outerShdw blurRad="50800" dist="50800" dir="5400000" sx="1000" sy="1000" algn="ctr" rotWithShape="0">
              <a:srgbClr val="000000">
                <a:alpha val="43137"/>
              </a:srgbClr>
            </a:outerShdw>
          </a:effectLst>
        </c:spPr>
      </c:pivotFmt>
      <c:pivotFmt>
        <c:idx val="8"/>
        <c:spPr>
          <a:solidFill>
            <a:schemeClr val="accent1"/>
          </a:solidFill>
          <a:ln w="19050">
            <a:solidFill>
              <a:schemeClr val="lt1"/>
            </a:solid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a:outerShdw blurRad="50800" dist="50800" dir="5400000" sx="1000" sy="1000" algn="ctr" rotWithShape="0">
              <a:srgbClr val="000000">
                <a:alpha val="43137"/>
              </a:srgbClr>
            </a:outerShdw>
          </a:effectLst>
        </c:spPr>
      </c:pivotFmt>
      <c:pivotFmt>
        <c:idx val="10"/>
        <c:spPr>
          <a:solidFill>
            <a:srgbClr val="FF0000"/>
          </a:solidFill>
          <a:ln w="19050">
            <a:solidFill>
              <a:schemeClr val="lt1"/>
            </a:solidFill>
          </a:ln>
          <a:effectLst>
            <a:outerShdw blurRad="50800" dist="50800" dir="5400000" sx="1000" sy="1000" algn="ctr" rotWithShape="0">
              <a:srgbClr val="000000">
                <a:alpha val="43137"/>
              </a:srgbClr>
            </a:outerShdw>
          </a:effectLst>
        </c:spPr>
      </c:pivotFmt>
      <c:pivotFmt>
        <c:idx val="11"/>
        <c:spPr>
          <a:solidFill>
            <a:schemeClr val="accent4"/>
          </a:solidFill>
          <a:ln w="19050">
            <a:solidFill>
              <a:schemeClr val="lt1"/>
            </a:solidFill>
          </a:ln>
          <a:effectLst>
            <a:outerShdw blurRad="50800" dist="50800" dir="5400000" sx="1000" sy="1000" algn="ctr" rotWithShape="0">
              <a:srgbClr val="000000">
                <a:alpha val="43137"/>
              </a:srgbClr>
            </a:outerShdw>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pivotFmt>
      <c:pivotFmt>
        <c:idx val="14"/>
        <c:spPr>
          <a:solidFill>
            <a:srgbClr val="FF0000"/>
          </a:solidFill>
          <a:ln w="19050">
            <a:solidFill>
              <a:schemeClr val="lt1"/>
            </a:solidFill>
          </a:ln>
          <a:effectLst/>
        </c:spPr>
      </c:pivotFmt>
      <c:pivotFmt>
        <c:idx val="15"/>
        <c:spPr>
          <a:solidFill>
            <a:srgbClr val="FFC000"/>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pivotFmt>
      <c:pivotFmt>
        <c:idx val="18"/>
        <c:spPr>
          <a:solidFill>
            <a:srgbClr val="FF0000"/>
          </a:solidFill>
          <a:ln w="19050">
            <a:solidFill>
              <a:schemeClr val="lt1"/>
            </a:solidFill>
          </a:ln>
          <a:effectLst/>
        </c:spPr>
      </c:pivotFmt>
      <c:pivotFmt>
        <c:idx val="19"/>
        <c:spPr>
          <a:solidFill>
            <a:srgbClr val="FFC000"/>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w="19050">
            <a:solidFill>
              <a:schemeClr val="lt1"/>
            </a:solidFill>
          </a:ln>
          <a:effectLst/>
        </c:spPr>
      </c:pivotFmt>
      <c:pivotFmt>
        <c:idx val="22"/>
        <c:spPr>
          <a:solidFill>
            <a:srgbClr val="FF0000"/>
          </a:solidFill>
          <a:ln w="19050">
            <a:solidFill>
              <a:schemeClr val="lt1"/>
            </a:solidFill>
          </a:ln>
          <a:effectLst/>
        </c:spPr>
      </c:pivotFmt>
      <c:pivotFmt>
        <c:idx val="23"/>
        <c:spPr>
          <a:solidFill>
            <a:srgbClr val="FFC000"/>
          </a:solidFill>
          <a:ln w="19050">
            <a:solidFill>
              <a:schemeClr val="lt1"/>
            </a:solidFill>
          </a:ln>
          <a:effectLst/>
        </c:spPr>
      </c:pivotFmt>
    </c:pivotFmts>
    <c:plotArea>
      <c:layout/>
      <c:doughnutChart>
        <c:varyColors val="1"/>
        <c:ser>
          <c:idx val="0"/>
          <c:order val="0"/>
          <c:tx>
            <c:strRef>
              <c:f>analysis_sheet_2!$E$5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975E-428B-B8BB-CF6B3E1A69BD}"/>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975E-428B-B8BB-CF6B3E1A69BD}"/>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975E-428B-B8BB-CF6B3E1A69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analysis_sheet_2!$D$6:$D$9</c:f>
              <c:strCache>
                <c:ptCount val="3"/>
                <c:pt idx="0">
                  <c:v>Adquate</c:v>
                </c:pt>
                <c:pt idx="1">
                  <c:v>Critical</c:v>
                </c:pt>
                <c:pt idx="2">
                  <c:v>low</c:v>
                </c:pt>
              </c:strCache>
            </c:strRef>
          </c:cat>
          <c:val>
            <c:numRef>
              <c:f>analysis_sheet_2!$E$6:$E$9</c:f>
              <c:numCache>
                <c:formatCode>General</c:formatCode>
                <c:ptCount val="3"/>
                <c:pt idx="0">
                  <c:v>70</c:v>
                </c:pt>
                <c:pt idx="1">
                  <c:v>16</c:v>
                </c:pt>
                <c:pt idx="2">
                  <c:v>14</c:v>
                </c:pt>
              </c:numCache>
            </c:numRef>
          </c:val>
          <c:extLst>
            <c:ext xmlns:c16="http://schemas.microsoft.com/office/drawing/2014/chart" uri="{C3380CC4-5D6E-409C-BE32-E72D297353CC}">
              <c16:uniqueId val="{00000006-975E-428B-B8BB-CF6B3E1A69BD}"/>
            </c:ext>
          </c:extLst>
        </c:ser>
        <c:dLbls>
          <c:showLegendKey val="0"/>
          <c:showVal val="0"/>
          <c:showCatName val="0"/>
          <c:showSerName val="0"/>
          <c:showPercent val="0"/>
          <c:showBubbleSize val="0"/>
          <c:showLeaderLines val="1"/>
        </c:dLbls>
        <c:firstSliceAng val="112"/>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schemeClr val="bg1">
          <a:lumMod val="50000"/>
          <a:alpha val="40000"/>
        </a:scheme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[GlowChain_Supply_Chain_Analysis.xlsx]analysis_sheet_2!PivotTable30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t>Supplier Lead Time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9316890024508529"/>
          <c:y val="0.19682978677252119"/>
          <c:w val="0.73492421477116687"/>
          <c:h val="0.68288431921216464"/>
        </c:manualLayout>
      </c:layout>
      <c:barChart>
        <c:barDir val="bar"/>
        <c:grouping val="clustered"/>
        <c:varyColors val="0"/>
        <c:ser>
          <c:idx val="0"/>
          <c:order val="0"/>
          <c:tx>
            <c:strRef>
              <c:f>analysis_sheet_2!$F$14</c:f>
              <c:strCache>
                <c:ptCount val="1"/>
                <c:pt idx="0">
                  <c:v>Total</c:v>
                </c:pt>
              </c:strCache>
            </c:strRef>
          </c:tx>
          <c:spPr>
            <a:solidFill>
              <a:schemeClr val="accent1"/>
            </a:solidFill>
            <a:ln>
              <a:noFill/>
            </a:ln>
            <a:effectLst/>
          </c:spPr>
          <c:invertIfNegative val="0"/>
          <c:cat>
            <c:strRef>
              <c:f>analysis_sheet_2!$E$15:$E$20</c:f>
              <c:strCache>
                <c:ptCount val="5"/>
                <c:pt idx="0">
                  <c:v>Supplier 3</c:v>
                </c:pt>
                <c:pt idx="1">
                  <c:v>Supplier 1</c:v>
                </c:pt>
                <c:pt idx="2">
                  <c:v>Supplier 5</c:v>
                </c:pt>
                <c:pt idx="3">
                  <c:v>Supplier 2</c:v>
                </c:pt>
                <c:pt idx="4">
                  <c:v>Supplier 4</c:v>
                </c:pt>
              </c:strCache>
            </c:strRef>
          </c:cat>
          <c:val>
            <c:numRef>
              <c:f>analysis_sheet_2!$F$15:$F$20</c:f>
              <c:numCache>
                <c:formatCode>0</c:formatCode>
                <c:ptCount val="5"/>
                <c:pt idx="0">
                  <c:v>29.266666666666666</c:v>
                </c:pt>
                <c:pt idx="1">
                  <c:v>29.37037037037037</c:v>
                </c:pt>
                <c:pt idx="2">
                  <c:v>31.055555555555557</c:v>
                </c:pt>
                <c:pt idx="3">
                  <c:v>31.818181818181817</c:v>
                </c:pt>
                <c:pt idx="4">
                  <c:v>32.333333333333336</c:v>
                </c:pt>
              </c:numCache>
            </c:numRef>
          </c:val>
          <c:extLst>
            <c:ext xmlns:c16="http://schemas.microsoft.com/office/drawing/2014/chart" uri="{C3380CC4-5D6E-409C-BE32-E72D297353CC}">
              <c16:uniqueId val="{00000000-8D7A-41ED-A116-456E7C8D10BE}"/>
            </c:ext>
          </c:extLst>
        </c:ser>
        <c:dLbls>
          <c:showLegendKey val="0"/>
          <c:showVal val="0"/>
          <c:showCatName val="0"/>
          <c:showSerName val="0"/>
          <c:showPercent val="0"/>
          <c:showBubbleSize val="0"/>
        </c:dLbls>
        <c:gapWidth val="50"/>
        <c:axId val="1701858080"/>
        <c:axId val="124386944"/>
      </c:barChart>
      <c:catAx>
        <c:axId val="170185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86944"/>
        <c:crosses val="autoZero"/>
        <c:auto val="1"/>
        <c:lblAlgn val="ctr"/>
        <c:lblOffset val="100"/>
        <c:noMultiLvlLbl val="0"/>
      </c:catAx>
      <c:valAx>
        <c:axId val="1243869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85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schemeClr val="bg1">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[GlowChain_Supply_Chain_Analysis.xlsx]analysis_sheet_2!PivotTable43</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0" i="0" u="none" strike="noStrike" baseline="0"/>
              <a:t>Shipping Cost Efficiency by Carrier</a:t>
            </a:r>
            <a:endParaRPr lang="en-US" sz="16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analysis_sheet_2!$H$46</c:f>
              <c:strCache>
                <c:ptCount val="1"/>
                <c:pt idx="0">
                  <c:v>Total</c:v>
                </c:pt>
              </c:strCache>
            </c:strRef>
          </c:tx>
          <c:spPr>
            <a:solidFill>
              <a:schemeClr val="accent1"/>
            </a:solidFill>
            <a:ln>
              <a:noFill/>
            </a:ln>
            <a:effectLst/>
          </c:spPr>
          <c:invertIfNegative val="0"/>
          <c:cat>
            <c:strRef>
              <c:f>analysis_sheet_2!$G$47:$G$50</c:f>
              <c:strCache>
                <c:ptCount val="3"/>
                <c:pt idx="0">
                  <c:v>Carrier A</c:v>
                </c:pt>
                <c:pt idx="1">
                  <c:v>Carrier B</c:v>
                </c:pt>
                <c:pt idx="2">
                  <c:v>Carrier C</c:v>
                </c:pt>
              </c:strCache>
            </c:strRef>
          </c:cat>
          <c:val>
            <c:numRef>
              <c:f>analysis_sheet_2!$H$47:$H$50</c:f>
              <c:numCache>
                <c:formatCode>"$"#,##0.00</c:formatCode>
                <c:ptCount val="3"/>
                <c:pt idx="0">
                  <c:v>1.9707198020259727E-2</c:v>
                </c:pt>
                <c:pt idx="1">
                  <c:v>4.6356587144540162E-2</c:v>
                </c:pt>
                <c:pt idx="2">
                  <c:v>4.2386486400611753E-2</c:v>
                </c:pt>
              </c:numCache>
            </c:numRef>
          </c:val>
          <c:extLst>
            <c:ext xmlns:c16="http://schemas.microsoft.com/office/drawing/2014/chart" uri="{C3380CC4-5D6E-409C-BE32-E72D297353CC}">
              <c16:uniqueId val="{00000000-FFFB-42AC-8F90-0F81EEE1FBA3}"/>
            </c:ext>
          </c:extLst>
        </c:ser>
        <c:dLbls>
          <c:showLegendKey val="0"/>
          <c:showVal val="0"/>
          <c:showCatName val="0"/>
          <c:showSerName val="0"/>
          <c:showPercent val="0"/>
          <c:showBubbleSize val="0"/>
        </c:dLbls>
        <c:gapWidth val="60"/>
        <c:axId val="1921551392"/>
        <c:axId val="1910757776"/>
      </c:barChart>
      <c:catAx>
        <c:axId val="192155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757776"/>
        <c:crosses val="autoZero"/>
        <c:auto val="1"/>
        <c:lblAlgn val="ctr"/>
        <c:lblOffset val="100"/>
        <c:noMultiLvlLbl val="0"/>
      </c:catAx>
      <c:valAx>
        <c:axId val="1910757776"/>
        <c:scaling>
          <c:orientation val="minMax"/>
        </c:scaling>
        <c:delete val="0"/>
        <c:axPos val="b"/>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551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schemeClr val="bg1">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106681</xdr:rowOff>
    </xdr:from>
    <xdr:to>
      <xdr:col>0</xdr:col>
      <xdr:colOff>2644140</xdr:colOff>
      <xdr:row>10</xdr:row>
      <xdr:rowOff>129541</xdr:rowOff>
    </xdr:to>
    <mc:AlternateContent xmlns:mc="http://schemas.openxmlformats.org/markup-compatibility/2006" xmlns:a14="http://schemas.microsoft.com/office/drawing/2010/main">
      <mc:Choice Requires="a14">
        <xdr:graphicFrame macro="">
          <xdr:nvGraphicFramePr>
            <xdr:cNvPr id="2" name="Product Type">
              <a:extLst>
                <a:ext uri="{FF2B5EF4-FFF2-40B4-BE49-F238E27FC236}">
                  <a16:creationId xmlns:a16="http://schemas.microsoft.com/office/drawing/2014/main" id="{49CF4200-0EC3-4633-9EAA-1BDBADE6A85C}"/>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0" y="838201"/>
              <a:ext cx="2644140" cy="1120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62</xdr:row>
      <xdr:rowOff>53341</xdr:rowOff>
    </xdr:from>
    <xdr:to>
      <xdr:col>0</xdr:col>
      <xdr:colOff>2651760</xdr:colOff>
      <xdr:row>68</xdr:row>
      <xdr:rowOff>144780</xdr:rowOff>
    </xdr:to>
    <mc:AlternateContent xmlns:mc="http://schemas.openxmlformats.org/markup-compatibility/2006" xmlns:a14="http://schemas.microsoft.com/office/drawing/2010/main">
      <mc:Choice Requires="a14">
        <xdr:graphicFrame macro="">
          <xdr:nvGraphicFramePr>
            <xdr:cNvPr id="3" name="Shipping carriers">
              <a:extLst>
                <a:ext uri="{FF2B5EF4-FFF2-40B4-BE49-F238E27FC236}">
                  <a16:creationId xmlns:a16="http://schemas.microsoft.com/office/drawing/2014/main" id="{B81C40BF-FF63-49BC-8FFC-24A407303D7F}"/>
                </a:ext>
              </a:extLst>
            </xdr:cNvPr>
            <xdr:cNvGraphicFramePr/>
          </xdr:nvGraphicFramePr>
          <xdr:xfrm>
            <a:off x="0" y="0"/>
            <a:ext cx="0" cy="0"/>
          </xdr:xfrm>
          <a:graphic>
            <a:graphicData uri="http://schemas.microsoft.com/office/drawing/2010/slicer">
              <sle:slicer xmlns:sle="http://schemas.microsoft.com/office/drawing/2010/slicer" name="Shipping carriers"/>
            </a:graphicData>
          </a:graphic>
        </xdr:graphicFrame>
      </mc:Choice>
      <mc:Fallback xmlns="">
        <xdr:sp macro="" textlink="">
          <xdr:nvSpPr>
            <xdr:cNvPr id="0" name=""/>
            <xdr:cNvSpPr>
              <a:spLocks noTextEdit="1"/>
            </xdr:cNvSpPr>
          </xdr:nvSpPr>
          <xdr:spPr>
            <a:xfrm>
              <a:off x="0" y="11391901"/>
              <a:ext cx="2651760" cy="1188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21</xdr:row>
      <xdr:rowOff>22861</xdr:rowOff>
    </xdr:from>
    <xdr:to>
      <xdr:col>1</xdr:col>
      <xdr:colOff>7620</xdr:colOff>
      <xdr:row>30</xdr:row>
      <xdr:rowOff>91441</xdr:rowOff>
    </xdr:to>
    <mc:AlternateContent xmlns:mc="http://schemas.openxmlformats.org/markup-compatibility/2006" xmlns:a14="http://schemas.microsoft.com/office/drawing/2010/main">
      <mc:Choice Requires="a14">
        <xdr:graphicFrame macro="">
          <xdr:nvGraphicFramePr>
            <xdr:cNvPr id="4" name="Supplier name">
              <a:extLst>
                <a:ext uri="{FF2B5EF4-FFF2-40B4-BE49-F238E27FC236}">
                  <a16:creationId xmlns:a16="http://schemas.microsoft.com/office/drawing/2014/main" id="{57C7C47A-9E10-4586-B123-1B4C34E7C81C}"/>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15240" y="3863341"/>
              <a:ext cx="265938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38101</xdr:rowOff>
    </xdr:from>
    <xdr:to>
      <xdr:col>0</xdr:col>
      <xdr:colOff>2651760</xdr:colOff>
      <xdr:row>43</xdr:row>
      <xdr:rowOff>83821</xdr:rowOff>
    </xdr:to>
    <mc:AlternateContent xmlns:mc="http://schemas.openxmlformats.org/markup-compatibility/2006" xmlns:a14="http://schemas.microsoft.com/office/drawing/2010/main">
      <mc:Choice Requires="a14">
        <xdr:graphicFrame macro="">
          <xdr:nvGraphicFramePr>
            <xdr:cNvPr id="5" name="Stock Risk">
              <a:extLst>
                <a:ext uri="{FF2B5EF4-FFF2-40B4-BE49-F238E27FC236}">
                  <a16:creationId xmlns:a16="http://schemas.microsoft.com/office/drawing/2014/main" id="{85BABB63-D032-4C0A-A0AF-B6E0A7989F77}"/>
                </a:ext>
              </a:extLst>
            </xdr:cNvPr>
            <xdr:cNvGraphicFramePr/>
          </xdr:nvGraphicFramePr>
          <xdr:xfrm>
            <a:off x="0" y="0"/>
            <a:ext cx="0" cy="0"/>
          </xdr:xfrm>
          <a:graphic>
            <a:graphicData uri="http://schemas.microsoft.com/office/drawing/2010/slicer">
              <sle:slicer xmlns:sle="http://schemas.microsoft.com/office/drawing/2010/slicer" name="Stock Risk"/>
            </a:graphicData>
          </a:graphic>
        </xdr:graphicFrame>
      </mc:Choice>
      <mc:Fallback xmlns="">
        <xdr:sp macro="" textlink="">
          <xdr:nvSpPr>
            <xdr:cNvPr id="0" name=""/>
            <xdr:cNvSpPr>
              <a:spLocks noTextEdit="1"/>
            </xdr:cNvSpPr>
          </xdr:nvSpPr>
          <xdr:spPr>
            <a:xfrm>
              <a:off x="0" y="6804661"/>
              <a:ext cx="265176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14</xdr:row>
      <xdr:rowOff>99060</xdr:rowOff>
    </xdr:from>
    <xdr:to>
      <xdr:col>0</xdr:col>
      <xdr:colOff>2636520</xdr:colOff>
      <xdr:row>19</xdr:row>
      <xdr:rowOff>167639</xdr:rowOff>
    </xdr:to>
    <mc:AlternateContent xmlns:mc="http://schemas.openxmlformats.org/markup-compatibility/2006" xmlns:a14="http://schemas.microsoft.com/office/drawing/2010/main">
      <mc:Choice Requires="a14">
        <xdr:graphicFrame macro="">
          <xdr:nvGraphicFramePr>
            <xdr:cNvPr id="6" name="Supplier Performance Flag">
              <a:extLst>
                <a:ext uri="{FF2B5EF4-FFF2-40B4-BE49-F238E27FC236}">
                  <a16:creationId xmlns:a16="http://schemas.microsoft.com/office/drawing/2014/main" id="{915F4028-10EA-4E8F-A606-BC0C50643193}"/>
                </a:ext>
              </a:extLst>
            </xdr:cNvPr>
            <xdr:cNvGraphicFramePr/>
          </xdr:nvGraphicFramePr>
          <xdr:xfrm>
            <a:off x="0" y="0"/>
            <a:ext cx="0" cy="0"/>
          </xdr:xfrm>
          <a:graphic>
            <a:graphicData uri="http://schemas.microsoft.com/office/drawing/2010/slicer">
              <sle:slicer xmlns:sle="http://schemas.microsoft.com/office/drawing/2010/slicer" name="Supplier Performance Flag"/>
            </a:graphicData>
          </a:graphic>
        </xdr:graphicFrame>
      </mc:Choice>
      <mc:Fallback xmlns="">
        <xdr:sp macro="" textlink="">
          <xdr:nvSpPr>
            <xdr:cNvPr id="0" name=""/>
            <xdr:cNvSpPr>
              <a:spLocks noTextEdit="1"/>
            </xdr:cNvSpPr>
          </xdr:nvSpPr>
          <xdr:spPr>
            <a:xfrm>
              <a:off x="30480" y="2659380"/>
              <a:ext cx="2606040" cy="982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1</xdr:row>
      <xdr:rowOff>0</xdr:rowOff>
    </xdr:from>
    <xdr:to>
      <xdr:col>3</xdr:col>
      <xdr:colOff>403860</xdr:colOff>
      <xdr:row>7</xdr:row>
      <xdr:rowOff>167640</xdr:rowOff>
    </xdr:to>
    <xdr:sp macro="" textlink="Calculations!B12">
      <xdr:nvSpPr>
        <xdr:cNvPr id="2" name="Rectangle: Rounded Corners 1">
          <a:extLst>
            <a:ext uri="{FF2B5EF4-FFF2-40B4-BE49-F238E27FC236}">
              <a16:creationId xmlns:a16="http://schemas.microsoft.com/office/drawing/2014/main" id="{C8ADCB25-40A6-476B-B544-C505A6A5E83A}"/>
            </a:ext>
          </a:extLst>
        </xdr:cNvPr>
        <xdr:cNvSpPr/>
      </xdr:nvSpPr>
      <xdr:spPr>
        <a:xfrm>
          <a:off x="45720" y="571500"/>
          <a:ext cx="1958340" cy="1264920"/>
        </a:xfrm>
        <a:prstGeom prst="roundRect">
          <a:avLst/>
        </a:prstGeom>
        <a:solidFill>
          <a:schemeClr val="accent1">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br>
            <a:rPr lang="en-US" sz="1600" b="0" i="0" u="none" strike="noStrike">
              <a:solidFill>
                <a:srgbClr val="000000"/>
              </a:solidFill>
              <a:latin typeface="Calibri"/>
              <a:ea typeface="Calibri"/>
              <a:cs typeface="Calibri"/>
            </a:rPr>
          </a:br>
          <a:r>
            <a:rPr lang="en-US" sz="1800">
              <a:solidFill>
                <a:schemeClr val="tx1">
                  <a:lumMod val="95000"/>
                  <a:lumOff val="5000"/>
                </a:schemeClr>
              </a:solidFill>
            </a:rPr>
            <a:t>Total Revenue</a:t>
          </a:r>
          <a:br>
            <a:rPr lang="en-US" sz="1600" b="0" i="0" u="none" strike="noStrike">
              <a:solidFill>
                <a:srgbClr val="000000"/>
              </a:solidFill>
              <a:latin typeface="Calibri"/>
              <a:ea typeface="Calibri"/>
              <a:cs typeface="Calibri"/>
            </a:rPr>
          </a:br>
          <a:fld id="{10E7CA75-EB7B-49EC-ABD0-364422D6085A}" type="TxLink">
            <a:rPr lang="en-US" sz="1600" b="0" i="0" u="none" strike="noStrike">
              <a:solidFill>
                <a:srgbClr val="000000"/>
              </a:solidFill>
              <a:latin typeface="Calibri"/>
              <a:ea typeface="Calibri"/>
              <a:cs typeface="Calibri"/>
            </a:rPr>
            <a:pPr algn="ctr"/>
            <a:t>$577,604.82</a:t>
          </a:fld>
          <a:endParaRPr lang="en-US" sz="1600" b="0" i="0" u="none" strike="noStrike">
            <a:solidFill>
              <a:srgbClr val="000000"/>
            </a:solidFill>
            <a:latin typeface="Calibri"/>
            <a:ea typeface="Calibri"/>
            <a:cs typeface="Calibri"/>
          </a:endParaRPr>
        </a:p>
        <a:p>
          <a:pPr algn="ctr"/>
          <a:endParaRPr lang="en-US" sz="1600"/>
        </a:p>
      </xdr:txBody>
    </xdr:sp>
    <xdr:clientData/>
  </xdr:twoCellAnchor>
  <xdr:twoCellAnchor>
    <xdr:from>
      <xdr:col>3</xdr:col>
      <xdr:colOff>541020</xdr:colOff>
      <xdr:row>1</xdr:row>
      <xdr:rowOff>0</xdr:rowOff>
    </xdr:from>
    <xdr:to>
      <xdr:col>7</xdr:col>
      <xdr:colOff>312420</xdr:colOff>
      <xdr:row>7</xdr:row>
      <xdr:rowOff>167640</xdr:rowOff>
    </xdr:to>
    <xdr:sp macro="" textlink="Calculations!B13">
      <xdr:nvSpPr>
        <xdr:cNvPr id="3" name="Rectangle: Rounded Corners 2">
          <a:extLst>
            <a:ext uri="{FF2B5EF4-FFF2-40B4-BE49-F238E27FC236}">
              <a16:creationId xmlns:a16="http://schemas.microsoft.com/office/drawing/2014/main" id="{743A688B-9E1B-49DB-8140-C1F3715A7345}"/>
            </a:ext>
          </a:extLst>
        </xdr:cNvPr>
        <xdr:cNvSpPr/>
      </xdr:nvSpPr>
      <xdr:spPr>
        <a:xfrm>
          <a:off x="2141220" y="571500"/>
          <a:ext cx="2316480" cy="1264920"/>
        </a:xfrm>
        <a:prstGeom prst="roundRect">
          <a:avLst/>
        </a:prstGeom>
        <a:solidFill>
          <a:schemeClr val="accent1">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br>
            <a:rPr lang="en-US" sz="1600" b="0" i="0" u="none" strike="noStrike">
              <a:solidFill>
                <a:srgbClr val="000000"/>
              </a:solidFill>
              <a:latin typeface="+mn-lt"/>
              <a:ea typeface="Calibri"/>
              <a:cs typeface="Calibri"/>
            </a:rPr>
          </a:br>
          <a:r>
            <a:rPr lang="en-US" sz="1800" b="0" i="0" u="none" strike="noStrike">
              <a:solidFill>
                <a:schemeClr val="tx1">
                  <a:lumMod val="95000"/>
                  <a:lumOff val="5000"/>
                </a:schemeClr>
              </a:solidFill>
              <a:latin typeface="+mn-lt"/>
              <a:ea typeface="Calibri"/>
              <a:cs typeface="Calibri"/>
            </a:rPr>
            <a:t>Total Cost</a:t>
          </a:r>
          <a:r>
            <a:rPr lang="en-US" sz="1600" b="0" i="0" u="none" strike="noStrike">
              <a:solidFill>
                <a:schemeClr val="bg1"/>
              </a:solidFill>
              <a:latin typeface="+mn-lt"/>
              <a:ea typeface="Calibri"/>
              <a:cs typeface="Calibri"/>
            </a:rPr>
            <a:t> </a:t>
          </a:r>
          <a:br>
            <a:rPr lang="en-US" sz="1600" b="0" i="0" u="none" strike="noStrike">
              <a:solidFill>
                <a:srgbClr val="000000"/>
              </a:solidFill>
              <a:latin typeface="+mn-lt"/>
              <a:ea typeface="Calibri"/>
              <a:cs typeface="Calibri"/>
            </a:rPr>
          </a:br>
          <a:fld id="{F091B843-F1FF-42EB-BF54-78521F1D7006}" type="TxLink">
            <a:rPr lang="en-US" sz="1600" b="0" i="0" u="none" strike="noStrike">
              <a:solidFill>
                <a:srgbClr val="000000"/>
              </a:solidFill>
              <a:latin typeface="Calibri"/>
              <a:ea typeface="Calibri"/>
              <a:cs typeface="Calibri"/>
            </a:rPr>
            <a:pPr algn="ctr"/>
            <a:t>$52,924.58</a:t>
          </a:fld>
          <a:endParaRPr lang="en-US" sz="1600" b="0" i="0" u="none" strike="noStrike">
            <a:solidFill>
              <a:srgbClr val="000000"/>
            </a:solidFill>
            <a:latin typeface="Calibri"/>
            <a:ea typeface="Calibri"/>
            <a:cs typeface="Calibri"/>
          </a:endParaRPr>
        </a:p>
      </xdr:txBody>
    </xdr:sp>
    <xdr:clientData/>
  </xdr:twoCellAnchor>
  <xdr:twoCellAnchor>
    <xdr:from>
      <xdr:col>7</xdr:col>
      <xdr:colOff>472440</xdr:colOff>
      <xdr:row>1</xdr:row>
      <xdr:rowOff>15240</xdr:rowOff>
    </xdr:from>
    <xdr:to>
      <xdr:col>11</xdr:col>
      <xdr:colOff>304800</xdr:colOff>
      <xdr:row>7</xdr:row>
      <xdr:rowOff>167640</xdr:rowOff>
    </xdr:to>
    <xdr:sp macro="" textlink="Calculations!B14">
      <xdr:nvSpPr>
        <xdr:cNvPr id="4" name="Rectangle: Rounded Corners 3">
          <a:extLst>
            <a:ext uri="{FF2B5EF4-FFF2-40B4-BE49-F238E27FC236}">
              <a16:creationId xmlns:a16="http://schemas.microsoft.com/office/drawing/2014/main" id="{A3C27D47-3035-4255-8A87-09EB1F26744F}"/>
            </a:ext>
          </a:extLst>
        </xdr:cNvPr>
        <xdr:cNvSpPr/>
      </xdr:nvSpPr>
      <xdr:spPr>
        <a:xfrm>
          <a:off x="4617720" y="586740"/>
          <a:ext cx="2270760" cy="1249680"/>
        </a:xfrm>
        <a:prstGeom prst="roundRect">
          <a:avLst/>
        </a:prstGeom>
        <a:solidFill>
          <a:schemeClr val="accent1">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br>
            <a:rPr lang="en-US" sz="1600" b="0" i="0" u="none" strike="noStrike">
              <a:solidFill>
                <a:srgbClr val="000000"/>
              </a:solidFill>
              <a:latin typeface="+mn-lt"/>
              <a:ea typeface="Calibri"/>
              <a:cs typeface="Calibri"/>
            </a:rPr>
          </a:br>
          <a:r>
            <a:rPr lang="en-US" sz="1800" b="0" i="0" u="none" strike="noStrike">
              <a:solidFill>
                <a:schemeClr val="tx1">
                  <a:lumMod val="95000"/>
                  <a:lumOff val="5000"/>
                </a:schemeClr>
              </a:solidFill>
              <a:latin typeface="+mn-lt"/>
              <a:ea typeface="Calibri"/>
              <a:cs typeface="Calibri"/>
            </a:rPr>
            <a:t>Overall Profit Margin</a:t>
          </a:r>
          <a:br>
            <a:rPr lang="en-US" sz="1600" b="0" i="0" u="none" strike="noStrike">
              <a:solidFill>
                <a:srgbClr val="000000"/>
              </a:solidFill>
              <a:latin typeface="+mn-lt"/>
              <a:ea typeface="Calibri"/>
              <a:cs typeface="Calibri"/>
            </a:rPr>
          </a:br>
          <a:fld id="{EDC4640E-46C6-4974-A1DA-BDC6297316E3}" type="TxLink">
            <a:rPr lang="en-US" sz="1600" b="0" i="0" u="none" strike="noStrike">
              <a:solidFill>
                <a:srgbClr val="000000"/>
              </a:solidFill>
              <a:latin typeface="Calibri"/>
              <a:ea typeface="Calibri"/>
              <a:cs typeface="Calibri"/>
            </a:rPr>
            <a:pPr algn="ctr"/>
            <a:t>90.84%</a:t>
          </a:fld>
          <a:endParaRPr lang="en-US" sz="1600" b="0" i="0" u="none" strike="noStrike">
            <a:solidFill>
              <a:srgbClr val="000000"/>
            </a:solidFill>
            <a:latin typeface="Calibri"/>
            <a:ea typeface="Calibri"/>
            <a:cs typeface="Calibri"/>
          </a:endParaRPr>
        </a:p>
      </xdr:txBody>
    </xdr:sp>
    <xdr:clientData/>
  </xdr:twoCellAnchor>
  <xdr:twoCellAnchor>
    <xdr:from>
      <xdr:col>11</xdr:col>
      <xdr:colOff>441960</xdr:colOff>
      <xdr:row>1</xdr:row>
      <xdr:rowOff>15240</xdr:rowOff>
    </xdr:from>
    <xdr:to>
      <xdr:col>15</xdr:col>
      <xdr:colOff>350520</xdr:colOff>
      <xdr:row>7</xdr:row>
      <xdr:rowOff>160020</xdr:rowOff>
    </xdr:to>
    <xdr:sp macro="" textlink="Calculations!B15">
      <xdr:nvSpPr>
        <xdr:cNvPr id="5" name="Rectangle: Rounded Corners 4">
          <a:extLst>
            <a:ext uri="{FF2B5EF4-FFF2-40B4-BE49-F238E27FC236}">
              <a16:creationId xmlns:a16="http://schemas.microsoft.com/office/drawing/2014/main" id="{F456A0FF-EF91-4684-B3CB-44BA31F1B29D}"/>
            </a:ext>
          </a:extLst>
        </xdr:cNvPr>
        <xdr:cNvSpPr/>
      </xdr:nvSpPr>
      <xdr:spPr>
        <a:xfrm>
          <a:off x="7025640" y="586740"/>
          <a:ext cx="2346960" cy="1242060"/>
        </a:xfrm>
        <a:prstGeom prst="roundRect">
          <a:avLst/>
        </a:prstGeom>
        <a:solidFill>
          <a:schemeClr val="accent1">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br>
            <a:rPr lang="en-US" sz="1600" b="0" i="0" u="none" strike="noStrike">
              <a:solidFill>
                <a:srgbClr val="000000"/>
              </a:solidFill>
              <a:latin typeface="+mn-lt"/>
              <a:ea typeface="Calibri"/>
              <a:cs typeface="Calibri"/>
            </a:rPr>
          </a:br>
          <a:r>
            <a:rPr lang="en-US" sz="1800" b="0" i="0" u="none" strike="noStrike">
              <a:solidFill>
                <a:schemeClr val="tx1">
                  <a:lumMod val="95000"/>
                  <a:lumOff val="5000"/>
                </a:schemeClr>
              </a:solidFill>
              <a:latin typeface="+mn-lt"/>
              <a:ea typeface="Calibri"/>
              <a:cs typeface="Calibri"/>
            </a:rPr>
            <a:t>Avg Defect Rate</a:t>
          </a:r>
          <a:br>
            <a:rPr lang="en-US" sz="1800" b="0" i="0" u="none" strike="noStrike">
              <a:solidFill>
                <a:schemeClr val="tx1">
                  <a:lumMod val="95000"/>
                  <a:lumOff val="5000"/>
                </a:schemeClr>
              </a:solidFill>
              <a:latin typeface="+mn-lt"/>
              <a:ea typeface="Calibri"/>
              <a:cs typeface="Calibri"/>
            </a:rPr>
          </a:br>
          <a:fld id="{07A62946-30EF-41D3-B6E5-5DA2163D0BF5}" type="TxLink">
            <a:rPr lang="en-US" sz="1600" b="0" i="0" u="none" strike="noStrike">
              <a:solidFill>
                <a:srgbClr val="000000"/>
              </a:solidFill>
              <a:latin typeface="Calibri"/>
              <a:ea typeface="Calibri"/>
              <a:cs typeface="Calibri"/>
            </a:rPr>
            <a:pPr algn="ctr"/>
            <a:t>2.28%</a:t>
          </a:fld>
          <a:endParaRPr lang="en-US" sz="1600" b="0" i="0" u="none" strike="noStrike">
            <a:solidFill>
              <a:srgbClr val="000000"/>
            </a:solidFill>
            <a:latin typeface="Calibri"/>
            <a:ea typeface="Calibri"/>
            <a:cs typeface="Calibri"/>
          </a:endParaRPr>
        </a:p>
      </xdr:txBody>
    </xdr:sp>
    <xdr:clientData/>
  </xdr:twoCellAnchor>
  <xdr:twoCellAnchor>
    <xdr:from>
      <xdr:col>15</xdr:col>
      <xdr:colOff>457200</xdr:colOff>
      <xdr:row>1</xdr:row>
      <xdr:rowOff>22860</xdr:rowOff>
    </xdr:from>
    <xdr:to>
      <xdr:col>19</xdr:col>
      <xdr:colOff>251460</xdr:colOff>
      <xdr:row>7</xdr:row>
      <xdr:rowOff>167640</xdr:rowOff>
    </xdr:to>
    <xdr:sp macro="" textlink="Calculations!B16">
      <xdr:nvSpPr>
        <xdr:cNvPr id="6" name="Rectangle: Rounded Corners 5">
          <a:extLst>
            <a:ext uri="{FF2B5EF4-FFF2-40B4-BE49-F238E27FC236}">
              <a16:creationId xmlns:a16="http://schemas.microsoft.com/office/drawing/2014/main" id="{708E5E9F-D203-409D-A940-39FC369D47EE}"/>
            </a:ext>
          </a:extLst>
        </xdr:cNvPr>
        <xdr:cNvSpPr/>
      </xdr:nvSpPr>
      <xdr:spPr>
        <a:xfrm>
          <a:off x="9479280" y="594360"/>
          <a:ext cx="2232660" cy="1242060"/>
        </a:xfrm>
        <a:prstGeom prst="roundRect">
          <a:avLst/>
        </a:prstGeom>
        <a:solidFill>
          <a:schemeClr val="accent1">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br>
            <a:rPr lang="en-US" sz="1600" b="0" i="0" u="none" strike="noStrike">
              <a:solidFill>
                <a:srgbClr val="000000"/>
              </a:solidFill>
              <a:latin typeface="+mn-lt"/>
              <a:ea typeface="Calibri"/>
              <a:cs typeface="Calibri"/>
            </a:rPr>
          </a:br>
          <a:r>
            <a:rPr lang="en-US" sz="1800" b="0" i="0" u="none" strike="noStrike">
              <a:solidFill>
                <a:schemeClr val="tx1">
                  <a:lumMod val="95000"/>
                  <a:lumOff val="5000"/>
                </a:schemeClr>
              </a:solidFill>
              <a:latin typeface="+mn-lt"/>
              <a:ea typeface="Calibri"/>
              <a:cs typeface="Calibri"/>
            </a:rPr>
            <a:t>Avg Total Lead Time</a:t>
          </a:r>
          <a:br>
            <a:rPr lang="en-US" sz="1600" b="0" i="0" u="none" strike="noStrike">
              <a:solidFill>
                <a:srgbClr val="000000"/>
              </a:solidFill>
              <a:latin typeface="+mn-lt"/>
              <a:ea typeface="Calibri"/>
              <a:cs typeface="Calibri"/>
            </a:rPr>
          </a:br>
          <a:fld id="{C54370ED-38E2-4FC4-A95E-2112B148B9DA}" type="TxLink">
            <a:rPr lang="en-US" sz="1600" b="0" i="0" u="none" strike="noStrike">
              <a:solidFill>
                <a:srgbClr val="000000"/>
              </a:solidFill>
              <a:latin typeface="Calibri"/>
              <a:ea typeface="Calibri"/>
              <a:cs typeface="Calibri"/>
            </a:rPr>
            <a:pPr algn="ctr"/>
            <a:t>31</a:t>
          </a:fld>
          <a:endParaRPr lang="en-US" sz="1600" b="0" i="0" u="none" strike="noStrike">
            <a:solidFill>
              <a:srgbClr val="000000"/>
            </a:solidFill>
            <a:latin typeface="Calibri"/>
            <a:ea typeface="Calibri"/>
            <a:cs typeface="Calibri"/>
          </a:endParaRPr>
        </a:p>
      </xdr:txBody>
    </xdr:sp>
    <xdr:clientData/>
  </xdr:twoCellAnchor>
  <xdr:twoCellAnchor>
    <xdr:from>
      <xdr:col>19</xdr:col>
      <xdr:colOff>350520</xdr:colOff>
      <xdr:row>1</xdr:row>
      <xdr:rowOff>0</xdr:rowOff>
    </xdr:from>
    <xdr:to>
      <xdr:col>23</xdr:col>
      <xdr:colOff>0</xdr:colOff>
      <xdr:row>7</xdr:row>
      <xdr:rowOff>152400</xdr:rowOff>
    </xdr:to>
    <xdr:sp macro="" textlink="Calculations!B17">
      <xdr:nvSpPr>
        <xdr:cNvPr id="7" name="Rectangle: Rounded Corners 6">
          <a:extLst>
            <a:ext uri="{FF2B5EF4-FFF2-40B4-BE49-F238E27FC236}">
              <a16:creationId xmlns:a16="http://schemas.microsoft.com/office/drawing/2014/main" id="{6FEC8968-155D-4206-98BC-99632F3FCAA0}"/>
            </a:ext>
          </a:extLst>
        </xdr:cNvPr>
        <xdr:cNvSpPr/>
      </xdr:nvSpPr>
      <xdr:spPr>
        <a:xfrm>
          <a:off x="11811000" y="571500"/>
          <a:ext cx="2316480" cy="1249680"/>
        </a:xfrm>
        <a:prstGeom prst="roundRect">
          <a:avLst/>
        </a:prstGeom>
        <a:solidFill>
          <a:schemeClr val="accent1">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br>
            <a:rPr lang="en-US" sz="1600" b="0" i="0" u="none" strike="noStrike">
              <a:solidFill>
                <a:srgbClr val="000000"/>
              </a:solidFill>
              <a:latin typeface="+mn-lt"/>
              <a:ea typeface="Calibri"/>
              <a:cs typeface="Calibri"/>
            </a:rPr>
          </a:br>
          <a:r>
            <a:rPr lang="en-US" sz="1600" b="0" i="0" u="none" strike="noStrike">
              <a:solidFill>
                <a:schemeClr val="tx1">
                  <a:lumMod val="95000"/>
                  <a:lumOff val="5000"/>
                </a:schemeClr>
              </a:solidFill>
              <a:latin typeface="+mn-lt"/>
              <a:ea typeface="Calibri"/>
              <a:cs typeface="Calibri"/>
            </a:rPr>
            <a:t>Avg Shipping Cost/Unit</a:t>
          </a:r>
          <a:br>
            <a:rPr lang="en-US" sz="1600" b="0" i="0" u="none" strike="noStrike">
              <a:solidFill>
                <a:srgbClr val="000000"/>
              </a:solidFill>
              <a:latin typeface="+mn-lt"/>
              <a:ea typeface="Calibri"/>
              <a:cs typeface="Calibri"/>
            </a:rPr>
          </a:br>
          <a:fld id="{EBC55EBE-E229-41C3-A9AB-B159AD0BB23D}" type="TxLink">
            <a:rPr lang="en-US" sz="1600" b="0" i="0" u="none" strike="noStrike">
              <a:solidFill>
                <a:srgbClr val="000000"/>
              </a:solidFill>
              <a:latin typeface="Calibri"/>
              <a:ea typeface="Calibri"/>
              <a:cs typeface="Calibri"/>
            </a:rPr>
            <a:pPr algn="ctr"/>
            <a:t>$5.55</a:t>
          </a:fld>
          <a:endParaRPr lang="en-US" sz="1600" b="0" i="0" u="none" strike="noStrike">
            <a:solidFill>
              <a:srgbClr val="000000"/>
            </a:solidFill>
            <a:latin typeface="Calibri"/>
            <a:ea typeface="Calibri"/>
            <a:cs typeface="Calibri"/>
          </a:endParaRPr>
        </a:p>
      </xdr:txBody>
    </xdr:sp>
    <xdr:clientData/>
  </xdr:twoCellAnchor>
  <xdr:twoCellAnchor editAs="oneCell">
    <xdr:from>
      <xdr:col>0</xdr:col>
      <xdr:colOff>60960</xdr:colOff>
      <xdr:row>8</xdr:row>
      <xdr:rowOff>91440</xdr:rowOff>
    </xdr:from>
    <xdr:to>
      <xdr:col>4</xdr:col>
      <xdr:colOff>525780</xdr:colOff>
      <xdr:row>15</xdr:row>
      <xdr:rowOff>15240</xdr:rowOff>
    </xdr:to>
    <mc:AlternateContent xmlns:mc="http://schemas.openxmlformats.org/markup-compatibility/2006" xmlns:a14="http://schemas.microsoft.com/office/drawing/2010/main">
      <mc:Choice Requires="a14">
        <xdr:graphicFrame macro="">
          <xdr:nvGraphicFramePr>
            <xdr:cNvPr id="17" name="Product Type 2">
              <a:extLst>
                <a:ext uri="{FF2B5EF4-FFF2-40B4-BE49-F238E27FC236}">
                  <a16:creationId xmlns:a16="http://schemas.microsoft.com/office/drawing/2014/main" id="{8B0B7F3E-CCFC-4974-8B7E-3429366BBA5C}"/>
                </a:ext>
              </a:extLst>
            </xdr:cNvPr>
            <xdr:cNvGraphicFramePr/>
          </xdr:nvGraphicFramePr>
          <xdr:xfrm>
            <a:off x="0" y="0"/>
            <a:ext cx="0" cy="0"/>
          </xdr:xfrm>
          <a:graphic>
            <a:graphicData uri="http://schemas.microsoft.com/office/drawing/2010/slicer">
              <sle:slicer xmlns:sle="http://schemas.microsoft.com/office/drawing/2010/slicer" name="Product Type 2"/>
            </a:graphicData>
          </a:graphic>
        </xdr:graphicFrame>
      </mc:Choice>
      <mc:Fallback xmlns="">
        <xdr:sp macro="" textlink="">
          <xdr:nvSpPr>
            <xdr:cNvPr id="0" name=""/>
            <xdr:cNvSpPr>
              <a:spLocks noTextEdit="1"/>
            </xdr:cNvSpPr>
          </xdr:nvSpPr>
          <xdr:spPr>
            <a:xfrm>
              <a:off x="60960" y="2011680"/>
              <a:ext cx="2659380" cy="1203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114300</xdr:colOff>
      <xdr:row>8</xdr:row>
      <xdr:rowOff>91440</xdr:rowOff>
    </xdr:from>
    <xdr:to>
      <xdr:col>9</xdr:col>
      <xdr:colOff>213360</xdr:colOff>
      <xdr:row>14</xdr:row>
      <xdr:rowOff>167640</xdr:rowOff>
    </xdr:to>
    <mc:AlternateContent xmlns:mc="http://schemas.openxmlformats.org/markup-compatibility/2006" xmlns:a14="http://schemas.microsoft.com/office/drawing/2010/main">
      <mc:Choice Requires="a14">
        <xdr:graphicFrame macro="">
          <xdr:nvGraphicFramePr>
            <xdr:cNvPr id="18" name="Supplier Performance Flag 1">
              <a:extLst>
                <a:ext uri="{FF2B5EF4-FFF2-40B4-BE49-F238E27FC236}">
                  <a16:creationId xmlns:a16="http://schemas.microsoft.com/office/drawing/2014/main" id="{704FDC5F-15A6-4FAC-8C6D-97C639B6BA2B}"/>
                </a:ext>
              </a:extLst>
            </xdr:cNvPr>
            <xdr:cNvGraphicFramePr/>
          </xdr:nvGraphicFramePr>
          <xdr:xfrm>
            <a:off x="0" y="0"/>
            <a:ext cx="0" cy="0"/>
          </xdr:xfrm>
          <a:graphic>
            <a:graphicData uri="http://schemas.microsoft.com/office/drawing/2010/slicer">
              <sle:slicer xmlns:sle="http://schemas.microsoft.com/office/drawing/2010/slicer" name="Supplier Performance Flag 1"/>
            </a:graphicData>
          </a:graphic>
        </xdr:graphicFrame>
      </mc:Choice>
      <mc:Fallback xmlns="">
        <xdr:sp macro="" textlink="">
          <xdr:nvSpPr>
            <xdr:cNvPr id="0" name=""/>
            <xdr:cNvSpPr>
              <a:spLocks noTextEdit="1"/>
            </xdr:cNvSpPr>
          </xdr:nvSpPr>
          <xdr:spPr>
            <a:xfrm>
              <a:off x="2994660" y="2011680"/>
              <a:ext cx="261366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518160</xdr:colOff>
      <xdr:row>8</xdr:row>
      <xdr:rowOff>91440</xdr:rowOff>
    </xdr:from>
    <xdr:to>
      <xdr:col>14</xdr:col>
      <xdr:colOff>129540</xdr:colOff>
      <xdr:row>14</xdr:row>
      <xdr:rowOff>167640</xdr:rowOff>
    </xdr:to>
    <mc:AlternateContent xmlns:mc="http://schemas.openxmlformats.org/markup-compatibility/2006" xmlns:a14="http://schemas.microsoft.com/office/drawing/2010/main">
      <mc:Choice Requires="a14">
        <xdr:graphicFrame macro="">
          <xdr:nvGraphicFramePr>
            <xdr:cNvPr id="19" name="Supplier name 1">
              <a:extLst>
                <a:ext uri="{FF2B5EF4-FFF2-40B4-BE49-F238E27FC236}">
                  <a16:creationId xmlns:a16="http://schemas.microsoft.com/office/drawing/2014/main" id="{6A007EEF-7210-49A6-863A-5B7F76BF1A29}"/>
                </a:ext>
              </a:extLst>
            </xdr:cNvPr>
            <xdr:cNvGraphicFramePr/>
          </xdr:nvGraphicFramePr>
          <xdr:xfrm>
            <a:off x="0" y="0"/>
            <a:ext cx="0" cy="0"/>
          </xdr:xfrm>
          <a:graphic>
            <a:graphicData uri="http://schemas.microsoft.com/office/drawing/2010/slicer">
              <sle:slicer xmlns:sle="http://schemas.microsoft.com/office/drawing/2010/slicer" name="Supplier name 1"/>
            </a:graphicData>
          </a:graphic>
        </xdr:graphicFrame>
      </mc:Choice>
      <mc:Fallback xmlns="">
        <xdr:sp macro="" textlink="">
          <xdr:nvSpPr>
            <xdr:cNvPr id="0" name=""/>
            <xdr:cNvSpPr>
              <a:spLocks noTextEdit="1"/>
            </xdr:cNvSpPr>
          </xdr:nvSpPr>
          <xdr:spPr>
            <a:xfrm>
              <a:off x="5913120" y="2011680"/>
              <a:ext cx="265938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304800</xdr:colOff>
      <xdr:row>8</xdr:row>
      <xdr:rowOff>83820</xdr:rowOff>
    </xdr:from>
    <xdr:to>
      <xdr:col>18</xdr:col>
      <xdr:colOff>518160</xdr:colOff>
      <xdr:row>15</xdr:row>
      <xdr:rowOff>0</xdr:rowOff>
    </xdr:to>
    <mc:AlternateContent xmlns:mc="http://schemas.openxmlformats.org/markup-compatibility/2006" xmlns:a14="http://schemas.microsoft.com/office/drawing/2010/main">
      <mc:Choice Requires="a14">
        <xdr:graphicFrame macro="">
          <xdr:nvGraphicFramePr>
            <xdr:cNvPr id="20" name="Stock Risk 1">
              <a:extLst>
                <a:ext uri="{FF2B5EF4-FFF2-40B4-BE49-F238E27FC236}">
                  <a16:creationId xmlns:a16="http://schemas.microsoft.com/office/drawing/2014/main" id="{D78B2F34-B9AD-4CB6-AC62-1423E2B3538B}"/>
                </a:ext>
              </a:extLst>
            </xdr:cNvPr>
            <xdr:cNvGraphicFramePr/>
          </xdr:nvGraphicFramePr>
          <xdr:xfrm>
            <a:off x="0" y="0"/>
            <a:ext cx="0" cy="0"/>
          </xdr:xfrm>
          <a:graphic>
            <a:graphicData uri="http://schemas.microsoft.com/office/drawing/2010/slicer">
              <sle:slicer xmlns:sle="http://schemas.microsoft.com/office/drawing/2010/slicer" name="Stock Risk 1"/>
            </a:graphicData>
          </a:graphic>
        </xdr:graphicFrame>
      </mc:Choice>
      <mc:Fallback xmlns="">
        <xdr:sp macro="" textlink="">
          <xdr:nvSpPr>
            <xdr:cNvPr id="0" name=""/>
            <xdr:cNvSpPr>
              <a:spLocks noTextEdit="1"/>
            </xdr:cNvSpPr>
          </xdr:nvSpPr>
          <xdr:spPr>
            <a:xfrm>
              <a:off x="8747760" y="2004060"/>
              <a:ext cx="2651760"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601980</xdr:colOff>
      <xdr:row>8</xdr:row>
      <xdr:rowOff>91440</xdr:rowOff>
    </xdr:from>
    <xdr:to>
      <xdr:col>23</xdr:col>
      <xdr:colOff>0</xdr:colOff>
      <xdr:row>14</xdr:row>
      <xdr:rowOff>167640</xdr:rowOff>
    </xdr:to>
    <mc:AlternateContent xmlns:mc="http://schemas.openxmlformats.org/markup-compatibility/2006" xmlns:a14="http://schemas.microsoft.com/office/drawing/2010/main">
      <mc:Choice Requires="a14">
        <xdr:graphicFrame macro="">
          <xdr:nvGraphicFramePr>
            <xdr:cNvPr id="21" name="Shipping carriers 1">
              <a:extLst>
                <a:ext uri="{FF2B5EF4-FFF2-40B4-BE49-F238E27FC236}">
                  <a16:creationId xmlns:a16="http://schemas.microsoft.com/office/drawing/2014/main" id="{A5E4AA51-3FCE-4246-9CB6-49D49FFC515A}"/>
                </a:ext>
              </a:extLst>
            </xdr:cNvPr>
            <xdr:cNvGraphicFramePr/>
          </xdr:nvGraphicFramePr>
          <xdr:xfrm>
            <a:off x="0" y="0"/>
            <a:ext cx="0" cy="0"/>
          </xdr:xfrm>
          <a:graphic>
            <a:graphicData uri="http://schemas.microsoft.com/office/drawing/2010/slicer">
              <sle:slicer xmlns:sle="http://schemas.microsoft.com/office/drawing/2010/slicer" name="Shipping carriers 1"/>
            </a:graphicData>
          </a:graphic>
        </xdr:graphicFrame>
      </mc:Choice>
      <mc:Fallback xmlns="">
        <xdr:sp macro="" textlink="">
          <xdr:nvSpPr>
            <xdr:cNvPr id="0" name=""/>
            <xdr:cNvSpPr>
              <a:spLocks noTextEdit="1"/>
            </xdr:cNvSpPr>
          </xdr:nvSpPr>
          <xdr:spPr>
            <a:xfrm>
              <a:off x="11483340" y="2011680"/>
              <a:ext cx="267462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15</xdr:row>
      <xdr:rowOff>129540</xdr:rowOff>
    </xdr:from>
    <xdr:to>
      <xdr:col>11</xdr:col>
      <xdr:colOff>441960</xdr:colOff>
      <xdr:row>31</xdr:row>
      <xdr:rowOff>129540</xdr:rowOff>
    </xdr:to>
    <xdr:graphicFrame macro="">
      <xdr:nvGraphicFramePr>
        <xdr:cNvPr id="22" name="Chart 21">
          <a:extLst>
            <a:ext uri="{FF2B5EF4-FFF2-40B4-BE49-F238E27FC236}">
              <a16:creationId xmlns:a16="http://schemas.microsoft.com/office/drawing/2014/main" id="{E23B7F28-08C4-4E20-9A44-4061B6AAD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502920</xdr:colOff>
      <xdr:row>16</xdr:row>
      <xdr:rowOff>5080</xdr:rowOff>
    </xdr:from>
    <xdr:to>
      <xdr:col>23</xdr:col>
      <xdr:colOff>0</xdr:colOff>
      <xdr:row>31</xdr:row>
      <xdr:rowOff>142240</xdr:rowOff>
    </xdr:to>
    <xdr:graphicFrame macro="">
      <xdr:nvGraphicFramePr>
        <xdr:cNvPr id="23" name="Chart 22">
          <a:extLst>
            <a:ext uri="{FF2B5EF4-FFF2-40B4-BE49-F238E27FC236}">
              <a16:creationId xmlns:a16="http://schemas.microsoft.com/office/drawing/2014/main" id="{77213E74-FE22-4F37-8C30-BC79B9CD6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182880</xdr:colOff>
      <xdr:row>32</xdr:row>
      <xdr:rowOff>20320</xdr:rowOff>
    </xdr:from>
    <xdr:to>
      <xdr:col>23</xdr:col>
      <xdr:colOff>0</xdr:colOff>
      <xdr:row>46</xdr:row>
      <xdr:rowOff>134620</xdr:rowOff>
    </xdr:to>
    <xdr:graphicFrame macro="">
      <xdr:nvGraphicFramePr>
        <xdr:cNvPr id="24" name="Chart 23">
          <a:extLst>
            <a:ext uri="{FF2B5EF4-FFF2-40B4-BE49-F238E27FC236}">
              <a16:creationId xmlns:a16="http://schemas.microsoft.com/office/drawing/2014/main" id="{BD6DDA31-30A0-4064-8497-A8D9FB145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60960</xdr:colOff>
      <xdr:row>32</xdr:row>
      <xdr:rowOff>0</xdr:rowOff>
    </xdr:from>
    <xdr:to>
      <xdr:col>8</xdr:col>
      <xdr:colOff>198120</xdr:colOff>
      <xdr:row>46</xdr:row>
      <xdr:rowOff>83820</xdr:rowOff>
    </xdr:to>
    <xdr:graphicFrame macro="">
      <xdr:nvGraphicFramePr>
        <xdr:cNvPr id="25" name="Chart 24">
          <a:extLst>
            <a:ext uri="{FF2B5EF4-FFF2-40B4-BE49-F238E27FC236}">
              <a16:creationId xmlns:a16="http://schemas.microsoft.com/office/drawing/2014/main" id="{CB699796-B71C-4D40-989A-CDAFCE48D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327660</xdr:colOff>
      <xdr:row>32</xdr:row>
      <xdr:rowOff>0</xdr:rowOff>
    </xdr:from>
    <xdr:to>
      <xdr:col>16</xdr:col>
      <xdr:colOff>0</xdr:colOff>
      <xdr:row>46</xdr:row>
      <xdr:rowOff>83820</xdr:rowOff>
    </xdr:to>
    <xdr:graphicFrame macro="">
      <xdr:nvGraphicFramePr>
        <xdr:cNvPr id="26" name="Chart 25">
          <a:extLst>
            <a:ext uri="{FF2B5EF4-FFF2-40B4-BE49-F238E27FC236}">
              <a16:creationId xmlns:a16="http://schemas.microsoft.com/office/drawing/2014/main" id="{06B2C6CB-7CF4-4E92-8361-C4522BB64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0.06164</cdr:x>
      <cdr:y>0.14323</cdr:y>
    </cdr:from>
    <cdr:to>
      <cdr:x>0.93379</cdr:x>
      <cdr:y>0.20573</cdr:y>
    </cdr:to>
    <cdr:sp macro="" textlink="">
      <cdr:nvSpPr>
        <cdr:cNvPr id="2" name="TextBox 1">
          <a:extLst xmlns:a="http://schemas.openxmlformats.org/drawingml/2006/main">
            <a:ext uri="{FF2B5EF4-FFF2-40B4-BE49-F238E27FC236}">
              <a16:creationId xmlns:a16="http://schemas.microsoft.com/office/drawing/2014/main" id="{CD1E0859-AA44-496B-B41A-1293E1B67338}"/>
            </a:ext>
          </a:extLst>
        </cdr:cNvPr>
        <cdr:cNvSpPr txBox="1"/>
      </cdr:nvSpPr>
      <cdr:spPr>
        <a:xfrm xmlns:a="http://schemas.openxmlformats.org/drawingml/2006/main">
          <a:off x="411480" y="419100"/>
          <a:ext cx="5821680" cy="1828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0.06164</cdr:x>
      <cdr:y>0.14323</cdr:y>
    </cdr:from>
    <cdr:to>
      <cdr:x>0.93379</cdr:x>
      <cdr:y>0.20573</cdr:y>
    </cdr:to>
    <cdr:sp macro="" textlink="">
      <cdr:nvSpPr>
        <cdr:cNvPr id="3" name="TextBox 2">
          <a:extLst xmlns:a="http://schemas.openxmlformats.org/drawingml/2006/main">
            <a:ext uri="{FF2B5EF4-FFF2-40B4-BE49-F238E27FC236}">
              <a16:creationId xmlns:a16="http://schemas.microsoft.com/office/drawing/2014/main" id="{4B8D18F8-AA04-4DC0-ADE1-627C58C403D7}"/>
            </a:ext>
          </a:extLst>
        </cdr:cNvPr>
        <cdr:cNvSpPr txBox="1"/>
      </cdr:nvSpPr>
      <cdr:spPr>
        <a:xfrm xmlns:a="http://schemas.openxmlformats.org/drawingml/2006/main">
          <a:off x="411480" y="419100"/>
          <a:ext cx="5821680" cy="1828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0.06164</cdr:x>
      <cdr:y>0.14323</cdr:y>
    </cdr:from>
    <cdr:to>
      <cdr:x>0.93379</cdr:x>
      <cdr:y>0.20573</cdr:y>
    </cdr:to>
    <cdr:sp macro="" textlink="">
      <cdr:nvSpPr>
        <cdr:cNvPr id="5" name="TextBox 4">
          <a:extLst xmlns:a="http://schemas.openxmlformats.org/drawingml/2006/main">
            <a:ext uri="{FF2B5EF4-FFF2-40B4-BE49-F238E27FC236}">
              <a16:creationId xmlns:a16="http://schemas.microsoft.com/office/drawing/2014/main" id="{1F79510D-464A-441E-8630-9F102EC6AD1E}"/>
            </a:ext>
          </a:extLst>
        </cdr:cNvPr>
        <cdr:cNvSpPr txBox="1"/>
      </cdr:nvSpPr>
      <cdr:spPr>
        <a:xfrm xmlns:a="http://schemas.openxmlformats.org/drawingml/2006/main">
          <a:off x="411480" y="419100"/>
          <a:ext cx="5821680" cy="1828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0.06164</cdr:x>
      <cdr:y>0.14323</cdr:y>
    </cdr:from>
    <cdr:to>
      <cdr:x>0.93379</cdr:x>
      <cdr:y>0.20573</cdr:y>
    </cdr:to>
    <cdr:sp macro="" textlink="">
      <cdr:nvSpPr>
        <cdr:cNvPr id="6" name="TextBox 5">
          <a:extLst xmlns:a="http://schemas.openxmlformats.org/drawingml/2006/main">
            <a:ext uri="{FF2B5EF4-FFF2-40B4-BE49-F238E27FC236}">
              <a16:creationId xmlns:a16="http://schemas.microsoft.com/office/drawing/2014/main" id="{395196CB-AB73-48E0-BA0D-6BD3B00917B0}"/>
            </a:ext>
          </a:extLst>
        </cdr:cNvPr>
        <cdr:cNvSpPr txBox="1"/>
      </cdr:nvSpPr>
      <cdr:spPr>
        <a:xfrm xmlns:a="http://schemas.openxmlformats.org/drawingml/2006/main">
          <a:off x="411480" y="419100"/>
          <a:ext cx="5821680" cy="18288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a:t>Comparing total revenue generated across Haircare, Skincare, and Cosmetics products</a:t>
          </a:r>
        </a:p>
      </cdr:txBody>
    </cdr:sp>
  </cdr:relSizeAnchor>
</c:userShapes>
</file>

<file path=xl/drawings/drawing4.xml><?xml version="1.0" encoding="utf-8"?>
<c:userShapes xmlns:c="http://schemas.openxmlformats.org/drawingml/2006/chart">
  <cdr:relSizeAnchor xmlns:cdr="http://schemas.openxmlformats.org/drawingml/2006/chartDrawing">
    <cdr:from>
      <cdr:x>0.32924</cdr:x>
      <cdr:y>0.01567</cdr:y>
    </cdr:from>
    <cdr:to>
      <cdr:x>0.80357</cdr:x>
      <cdr:y>0.14621</cdr:y>
    </cdr:to>
    <cdr:sp macro="" textlink="">
      <cdr:nvSpPr>
        <cdr:cNvPr id="2" name="TextBox 1">
          <a:extLst xmlns:a="http://schemas.openxmlformats.org/drawingml/2006/main">
            <a:ext uri="{FF2B5EF4-FFF2-40B4-BE49-F238E27FC236}">
              <a16:creationId xmlns:a16="http://schemas.microsoft.com/office/drawing/2014/main" id="{1CFCAA0A-DB56-4580-8365-21F1EE76BDD6}"/>
            </a:ext>
          </a:extLst>
        </cdr:cNvPr>
        <cdr:cNvSpPr txBox="1"/>
      </cdr:nvSpPr>
      <cdr:spPr>
        <a:xfrm xmlns:a="http://schemas.openxmlformats.org/drawingml/2006/main">
          <a:off x="2247900" y="45720"/>
          <a:ext cx="3238500" cy="381000"/>
        </a:xfrm>
        <a:prstGeom xmlns:a="http://schemas.openxmlformats.org/drawingml/2006/main" prst="rect">
          <a:avLst/>
        </a:prstGeom>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r>
            <a:rPr lang="en-US" sz="1200">
              <a:solidFill>
                <a:schemeClr val="bg2">
                  <a:lumMod val="50000"/>
                </a:schemeClr>
              </a:solidFill>
              <a:latin typeface="Arial" panose="020B0604020202020204" pitchFamily="34" charset="0"/>
              <a:cs typeface="Arial" panose="020B0604020202020204" pitchFamily="34" charset="0"/>
            </a:rPr>
            <a:t>Revenue and Profit Margin by Product Type</a:t>
          </a:r>
        </a:p>
      </cdr:txBody>
    </cdr:sp>
  </cdr:relSizeAnchor>
  <cdr:relSizeAnchor xmlns:cdr="http://schemas.openxmlformats.org/drawingml/2006/chartDrawing">
    <cdr:from>
      <cdr:x>0.08929</cdr:x>
      <cdr:y>0.14099</cdr:y>
    </cdr:from>
    <cdr:to>
      <cdr:x>0.89286</cdr:x>
      <cdr:y>0.20366</cdr:y>
    </cdr:to>
    <cdr:sp macro="" textlink="">
      <cdr:nvSpPr>
        <cdr:cNvPr id="3" name="TextBox 2">
          <a:extLst xmlns:a="http://schemas.openxmlformats.org/drawingml/2006/main">
            <a:ext uri="{FF2B5EF4-FFF2-40B4-BE49-F238E27FC236}">
              <a16:creationId xmlns:a16="http://schemas.microsoft.com/office/drawing/2014/main" id="{C46F92F9-3933-4BCD-86C8-8E13B9417EFB}"/>
            </a:ext>
          </a:extLst>
        </cdr:cNvPr>
        <cdr:cNvSpPr txBox="1"/>
      </cdr:nvSpPr>
      <cdr:spPr>
        <a:xfrm xmlns:a="http://schemas.openxmlformats.org/drawingml/2006/main">
          <a:off x="609600" y="411480"/>
          <a:ext cx="5486400" cy="1828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0.17522</cdr:x>
      <cdr:y>0.11488</cdr:y>
    </cdr:from>
    <cdr:to>
      <cdr:x>0.88951</cdr:x>
      <cdr:y>0.20888</cdr:y>
    </cdr:to>
    <cdr:sp macro="" textlink="">
      <cdr:nvSpPr>
        <cdr:cNvPr id="4" name="TextBox 3">
          <a:extLst xmlns:a="http://schemas.openxmlformats.org/drawingml/2006/main">
            <a:ext uri="{FF2B5EF4-FFF2-40B4-BE49-F238E27FC236}">
              <a16:creationId xmlns:a16="http://schemas.microsoft.com/office/drawing/2014/main" id="{92523098-C03E-45E0-A083-9324C187696C}"/>
            </a:ext>
          </a:extLst>
        </cdr:cNvPr>
        <cdr:cNvSpPr txBox="1"/>
      </cdr:nvSpPr>
      <cdr:spPr>
        <a:xfrm xmlns:a="http://schemas.openxmlformats.org/drawingml/2006/main">
          <a:off x="1196340" y="335280"/>
          <a:ext cx="4876800" cy="27432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a:t>Evaluating both sales performance and profitability across product categories</a:t>
          </a:r>
          <a:endParaRPr lang="en-US" sz="1100"/>
        </a:p>
      </cdr:txBody>
    </cdr:sp>
  </cdr:relSizeAnchor>
</c:userShapes>
</file>

<file path=xl/drawings/drawing5.xml><?xml version="1.0" encoding="utf-8"?>
<c:userShapes xmlns:c="http://schemas.openxmlformats.org/drawingml/2006/chart">
  <cdr:relSizeAnchor xmlns:cdr="http://schemas.openxmlformats.org/drawingml/2006/chartDrawing">
    <cdr:from>
      <cdr:x>0.61025</cdr:x>
      <cdr:y>0.17595</cdr:y>
    </cdr:from>
    <cdr:to>
      <cdr:x>0.86025</cdr:x>
      <cdr:y>0.31273</cdr:y>
    </cdr:to>
    <cdr:sp macro="" textlink="">
      <cdr:nvSpPr>
        <cdr:cNvPr id="2" name="Speech Bubble: Oval 1">
          <a:extLst xmlns:a="http://schemas.openxmlformats.org/drawingml/2006/main">
            <a:ext uri="{FF2B5EF4-FFF2-40B4-BE49-F238E27FC236}">
              <a16:creationId xmlns:a16="http://schemas.microsoft.com/office/drawing/2014/main" id="{E079ED25-B252-4261-9661-EBE04006D822}"/>
            </a:ext>
          </a:extLst>
        </cdr:cNvPr>
        <cdr:cNvSpPr/>
      </cdr:nvSpPr>
      <cdr:spPr>
        <a:xfrm xmlns:a="http://schemas.openxmlformats.org/drawingml/2006/main">
          <a:off x="1948393" y="471944"/>
          <a:ext cx="798195" cy="366876"/>
        </a:xfrm>
        <a:prstGeom xmlns:a="http://schemas.openxmlformats.org/drawingml/2006/main" prst="wedgeEllipseCallout">
          <a:avLst>
            <a:gd name="adj1" fmla="val -34896"/>
            <a:gd name="adj2" fmla="val 80278"/>
          </a:avLst>
        </a:prstGeom>
        <a:solidFill xmlns:a="http://schemas.openxmlformats.org/drawingml/2006/main">
          <a:schemeClr val="bg1"/>
        </a:solidFill>
      </cdr:spPr>
      <cdr:style>
        <a:lnRef xmlns:a="http://schemas.openxmlformats.org/drawingml/2006/main" idx="2">
          <a:schemeClr val="accent3">
            <a:shade val="50000"/>
          </a:schemeClr>
        </a:lnRef>
        <a:fillRef xmlns:a="http://schemas.openxmlformats.org/drawingml/2006/main" idx="1">
          <a:schemeClr val="accent3"/>
        </a:fillRef>
        <a:effectRef xmlns:a="http://schemas.openxmlformats.org/drawingml/2006/main" idx="0">
          <a:schemeClr val="accent3"/>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solidFill>
                <a:schemeClr val="tx1"/>
              </a:solidFill>
            </a:rPr>
            <a:t>CRITICAL</a:t>
          </a:r>
        </a:p>
      </cdr:txBody>
    </cdr:sp>
  </cdr:relSizeAnchor>
  <cdr:relSizeAnchor xmlns:cdr="http://schemas.openxmlformats.org/drawingml/2006/chartDrawing">
    <cdr:from>
      <cdr:x>0.01563</cdr:x>
      <cdr:y>0.32219</cdr:y>
    </cdr:from>
    <cdr:to>
      <cdr:x>0.3125</cdr:x>
      <cdr:y>0.47416</cdr:y>
    </cdr:to>
    <cdr:sp macro="" textlink="">
      <cdr:nvSpPr>
        <cdr:cNvPr id="3" name="Speech Bubble: Oval 2">
          <a:extLst xmlns:a="http://schemas.openxmlformats.org/drawingml/2006/main">
            <a:ext uri="{FF2B5EF4-FFF2-40B4-BE49-F238E27FC236}">
              <a16:creationId xmlns:a16="http://schemas.microsoft.com/office/drawing/2014/main" id="{6513E206-4FFD-4F31-A20A-5EA88ED9F1ED}"/>
            </a:ext>
          </a:extLst>
        </cdr:cNvPr>
        <cdr:cNvSpPr/>
      </cdr:nvSpPr>
      <cdr:spPr>
        <a:xfrm xmlns:a="http://schemas.openxmlformats.org/drawingml/2006/main">
          <a:off x="60960" y="807720"/>
          <a:ext cx="1158240" cy="381000"/>
        </a:xfrm>
        <a:prstGeom xmlns:a="http://schemas.openxmlformats.org/drawingml/2006/main" prst="wedgeEllipseCallout">
          <a:avLst>
            <a:gd name="adj1" fmla="val 33772"/>
            <a:gd name="adj2" fmla="val 64500"/>
          </a:avLst>
        </a:prstGeom>
        <a:solidFill xmlns:a="http://schemas.openxmlformats.org/drawingml/2006/main">
          <a:schemeClr val="bg1"/>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solidFill>
                <a:schemeClr val="tx1"/>
              </a:solidFill>
            </a:rPr>
            <a:t>ADQUATE</a:t>
          </a:r>
        </a:p>
        <a:p xmlns:a="http://schemas.openxmlformats.org/drawingml/2006/main">
          <a:endParaRPr lang="en-US"/>
        </a:p>
      </cdr:txBody>
    </cdr:sp>
  </cdr:relSizeAnchor>
  <cdr:relSizeAnchor xmlns:cdr="http://schemas.openxmlformats.org/drawingml/2006/chartDrawing">
    <cdr:from>
      <cdr:x>0.73438</cdr:x>
      <cdr:y>0.46505</cdr:y>
    </cdr:from>
    <cdr:to>
      <cdr:x>0.93945</cdr:x>
      <cdr:y>0.62006</cdr:y>
    </cdr:to>
    <cdr:sp macro="" textlink="">
      <cdr:nvSpPr>
        <cdr:cNvPr id="4" name="Speech Bubble: Oval 3">
          <a:extLst xmlns:a="http://schemas.openxmlformats.org/drawingml/2006/main">
            <a:ext uri="{FF2B5EF4-FFF2-40B4-BE49-F238E27FC236}">
              <a16:creationId xmlns:a16="http://schemas.microsoft.com/office/drawing/2014/main" id="{159B3F0E-7D9B-44D2-83BC-C5B193F59D20}"/>
            </a:ext>
          </a:extLst>
        </cdr:cNvPr>
        <cdr:cNvSpPr/>
      </cdr:nvSpPr>
      <cdr:spPr>
        <a:xfrm xmlns:a="http://schemas.openxmlformats.org/drawingml/2006/main">
          <a:off x="2865120" y="1165860"/>
          <a:ext cx="800100" cy="388620"/>
        </a:xfrm>
        <a:prstGeom xmlns:a="http://schemas.openxmlformats.org/drawingml/2006/main" prst="wedgeEllipseCallout">
          <a:avLst>
            <a:gd name="adj1" fmla="val -54166"/>
            <a:gd name="adj2" fmla="val 54657"/>
          </a:avLst>
        </a:prstGeom>
        <a:solidFill xmlns:a="http://schemas.openxmlformats.org/drawingml/2006/main">
          <a:schemeClr val="bg1"/>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solidFill>
                <a:schemeClr val="tx1"/>
              </a:solidFill>
            </a:rPr>
            <a:t>LOW</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ESH .P" refreshedDate="46174.503204166664" createdVersion="6" refreshedVersion="6" minRefreshableVersion="3" recordCount="100" xr:uid="{6FC684DF-39D0-4649-B1BC-932E9D00F514}">
  <cacheSource type="worksheet">
    <worksheetSource name="Table3"/>
  </cacheSource>
  <cacheFields count="32">
    <cacheField name="Product Type" numFmtId="0">
      <sharedItems count="3">
        <s v="Haircare"/>
        <s v="Skincare"/>
        <s v="Cosmetics"/>
      </sharedItems>
    </cacheField>
    <cacheField name="SKU" numFmtId="0">
      <sharedItems count="100">
        <s v="SKU42"/>
        <s v="SKU65"/>
        <s v="SKU1"/>
        <s v="SKU84"/>
        <s v="SKU50"/>
        <s v="SKU3"/>
        <s v="SKU73"/>
        <s v="SKU2"/>
        <s v="SKU55"/>
        <s v="SKU61"/>
        <s v="SKU20"/>
        <s v="SKU40"/>
        <s v="SKU93"/>
        <s v="SKU82"/>
        <s v="SKU78"/>
        <s v="SKU29"/>
        <s v="SKU96"/>
        <s v="SKU9"/>
        <s v="SKU36"/>
        <s v="SKU25"/>
        <s v="SKU87"/>
        <s v="SKU24"/>
        <s v="SKU46"/>
        <s v="SKU19"/>
        <s v="SKU63"/>
        <s v="SKU33"/>
        <s v="SKU66"/>
        <s v="SKU97"/>
        <s v="SKU45"/>
        <s v="SKU72"/>
        <s v="SKU4"/>
        <s v="SKU77"/>
        <s v="SKU31"/>
        <s v="SKU44"/>
        <s v="SKU98"/>
        <s v="SKU27"/>
        <s v="SKU60"/>
        <s v="SKU80"/>
        <s v="SKU49"/>
        <s v="SKU5"/>
        <s v="SKU8"/>
        <s v="SKU37"/>
        <s v="SKU22"/>
        <s v="SKU81"/>
        <s v="SKU57"/>
        <s v="SKU54"/>
        <s v="SKU15"/>
        <s v="SKU18"/>
        <s v="SKU76"/>
        <s v="SKU12"/>
        <s v="SKU52"/>
        <s v="SKU26"/>
        <s v="SKU71"/>
        <s v="SKU86"/>
        <s v="SKU75"/>
        <s v="SKU68"/>
        <s v="SKU32"/>
        <s v="SKU89"/>
        <s v="SKU62"/>
        <s v="SKU70"/>
        <s v="SKU51"/>
        <s v="SKU58"/>
        <s v="SKU10"/>
        <s v="SKU48"/>
        <s v="SKU13"/>
        <s v="SKU94"/>
        <s v="SKU39"/>
        <s v="SKU53"/>
        <s v="SKU85"/>
        <s v="SKU69"/>
        <s v="SKU23"/>
        <s v="SKU90"/>
        <s v="SKU95"/>
        <s v="SKU56"/>
        <s v="SKU16"/>
        <s v="SKU6"/>
        <s v="SKU30"/>
        <s v="SKU28"/>
        <s v="SKU83"/>
        <s v="SKU88"/>
        <s v="SKU34"/>
        <s v="SKU91"/>
        <s v="SKU38"/>
        <s v="SKU35"/>
        <s v="SKU59"/>
        <s v="SKU7"/>
        <s v="SKU74"/>
        <s v="SKU47"/>
        <s v="SKU43"/>
        <s v="SKU99"/>
        <s v="SKU92"/>
        <s v="SKU0"/>
        <s v="SKU79"/>
        <s v="SKU64"/>
        <s v="SKU67"/>
        <s v="SKU17"/>
        <s v="SKU14"/>
        <s v="SKU41"/>
        <s v="SKU11"/>
        <s v="SKU21"/>
      </sharedItems>
    </cacheField>
    <cacheField name="Price" numFmtId="164">
      <sharedItems containsSemiMixedTypes="0" containsString="0" containsNumber="1" minValue="1.6999760138659377" maxValue="99.171328638624189"/>
    </cacheField>
    <cacheField name="Availability" numFmtId="0">
      <sharedItems containsSemiMixedTypes="0" containsString="0" containsNumber="1" containsInteger="1" minValue="1" maxValue="100"/>
    </cacheField>
    <cacheField name="Number of products sold" numFmtId="1">
      <sharedItems containsSemiMixedTypes="0" containsString="0" containsNumber="1" containsInteger="1" minValue="8" maxValue="996"/>
    </cacheField>
    <cacheField name="Revenue generated" numFmtId="164">
      <sharedItems containsSemiMixedTypes="0" containsString="0" containsNumber="1" minValue="1061.618523013288" maxValue="9866.465457979697"/>
    </cacheField>
    <cacheField name="Customer demographics" numFmtId="0">
      <sharedItems count="4">
        <s v="Female"/>
        <s v="Male"/>
        <s v="Unknown"/>
        <s v="Non-binary"/>
      </sharedItems>
    </cacheField>
    <cacheField name="Stock levels" numFmtId="0">
      <sharedItems containsSemiMixedTypes="0" containsString="0" containsNumber="1" containsInteger="1" minValue="0" maxValue="100"/>
    </cacheField>
    <cacheField name="order 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C"/>
        <s v="Carrier A"/>
        <s v="Carrier B"/>
      </sharedItems>
    </cacheField>
    <cacheField name="Shipping costs" numFmtId="164">
      <sharedItems containsSemiMixedTypes="0" containsString="0" containsNumber="1" minValue="1.0134865660958963" maxValue="9.9298162452772587"/>
    </cacheField>
    <cacheField name="Supplier name" numFmtId="0">
      <sharedItems count="5">
        <s v="Supplier 5"/>
        <s v="Supplier 3"/>
        <s v="Supplier 2"/>
        <s v="Supplier 4"/>
        <s v="Supplier 1"/>
      </sharedItems>
    </cacheField>
    <cacheField name="Location" numFmtId="0">
      <sharedItems count="5">
        <s v="Bangalore"/>
        <s v="Kolkata"/>
        <s v="Mumbai"/>
        <s v="Chennai"/>
        <s v="Delhi"/>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164">
      <sharedItems containsSemiMixedTypes="0" containsString="0" containsNumber="1" minValue="1.0850685695870688" maxValue="99.466108603599125"/>
    </cacheField>
    <cacheField name="Inspection results" numFmtId="0">
      <sharedItems count="3">
        <s v="Fail"/>
        <s v="Pending"/>
        <s v="Pass"/>
      </sharedItems>
    </cacheField>
    <cacheField name="Defect rates" numFmtId="9">
      <sharedItems containsSemiMixedTypes="0" containsString="0" containsNumber="1" minValue="1.8607567631014898E-4" maxValue="4.939255288620948E-2"/>
    </cacheField>
    <cacheField name="Transportation modes" numFmtId="0">
      <sharedItems count="4">
        <s v="Road"/>
        <s v="Rail"/>
        <s v="Air"/>
        <s v="Sea"/>
      </sharedItems>
    </cacheField>
    <cacheField name="Routes" numFmtId="0">
      <sharedItems/>
    </cacheField>
    <cacheField name="Costs" numFmtId="164">
      <sharedItems containsSemiMixedTypes="0" containsString="0" containsNumber="1" minValue="103.91624796070495" maxValue="997.4134501331946"/>
    </cacheField>
    <cacheField name="Profit " numFmtId="164">
      <sharedItems containsSemiMixedTypes="0" containsString="0" containsNumber="1" minValue="749.04424940319473" maxValue="9435.8293440972102"/>
    </cacheField>
    <cacheField name="profit margin %" numFmtId="9">
      <sharedItems containsSemiMixedTypes="0" containsString="0" containsNumber="1" minValue="0.48492413405394075" maxValue="0.98899744984067017"/>
    </cacheField>
    <cacheField name="Stock Risk" numFmtId="0">
      <sharedItems count="3">
        <s v="low"/>
        <s v="Adquate"/>
        <s v="Critical"/>
      </sharedItems>
    </cacheField>
    <cacheField name="Revenue Tier" numFmtId="0">
      <sharedItems count="3">
        <s v="Low"/>
        <s v="High"/>
        <s v="Medium"/>
      </sharedItems>
    </cacheField>
    <cacheField name="Defect Category" numFmtId="0">
      <sharedItems count="2">
        <s v="Acceptable"/>
        <s v="Excellent"/>
      </sharedItems>
    </cacheField>
    <cacheField name="Total Lead Time" numFmtId="0">
      <sharedItems containsSemiMixedTypes="0" containsString="0" containsNumber="1" containsInteger="1" minValue="6" maxValue="60" count="42">
        <n v="34"/>
        <n v="45"/>
        <n v="60"/>
        <n v="48"/>
        <n v="44"/>
        <n v="31"/>
        <n v="29"/>
        <n v="37"/>
        <n v="16"/>
        <n v="35"/>
        <n v="18"/>
        <n v="21"/>
        <n v="25"/>
        <n v="12"/>
        <n v="30"/>
        <n v="50"/>
        <n v="42"/>
        <n v="24"/>
        <n v="52"/>
        <n v="27"/>
        <n v="40"/>
        <n v="32"/>
        <n v="6"/>
        <n v="33"/>
        <n v="10"/>
        <n v="13"/>
        <n v="51"/>
        <n v="19"/>
        <n v="23"/>
        <n v="7"/>
        <n v="43"/>
        <n v="15"/>
        <n v="38"/>
        <n v="20"/>
        <n v="26"/>
        <n v="28"/>
        <n v="8"/>
        <n v="39"/>
        <n v="56"/>
        <n v="22"/>
        <n v="36"/>
        <n v="54"/>
      </sharedItems>
    </cacheField>
    <cacheField name="Shipping Cost Per Unit" numFmtId="164">
      <sharedItems containsSemiMixedTypes="0" containsString="0" containsNumber="1" minValue="1.5441413966463013E-3" maxValue="1.0068099077165193"/>
    </cacheField>
    <cacheField name="Supplier Performance Flag" numFmtId="0">
      <sharedItems count="2">
        <s v="Good"/>
        <s v="Slow"/>
      </sharedItems>
    </cacheField>
  </cacheFields>
  <extLst>
    <ext xmlns:x14="http://schemas.microsoft.com/office/spreadsheetml/2009/9/main" uri="{725AE2AE-9491-48be-B2B4-4EB974FC3084}">
      <x14:pivotCacheDefinition pivotCacheId="11828095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46.529167614516773"/>
    <n v="98"/>
    <n v="155"/>
    <n v="1839.6094258567639"/>
    <x v="0"/>
    <n v="22"/>
    <n v="27"/>
    <n v="57"/>
    <n v="4"/>
    <x v="0"/>
    <n v="7.5262483268515084"/>
    <x v="0"/>
    <x v="0"/>
    <n v="26"/>
    <n v="179"/>
    <n v="7"/>
    <n v="96.422820639571867"/>
    <x v="0"/>
    <n v="4.939255288620948E-2"/>
    <x v="0"/>
    <s v="Route A"/>
    <n v="635.65712050199204"/>
    <n v="1203.9523053547719"/>
    <n v="0.65446082653879289"/>
    <x v="0"/>
    <x v="0"/>
    <x v="0"/>
    <x v="0"/>
    <n v="4.8556440818396829E-2"/>
    <x v="0"/>
  </r>
  <r>
    <x v="1"/>
    <x v="1"/>
    <n v="33.697717206643127"/>
    <n v="72"/>
    <n v="457"/>
    <n v="8354.5796864819949"/>
    <x v="1"/>
    <n v="57"/>
    <n v="24"/>
    <n v="54"/>
    <n v="8"/>
    <x v="0"/>
    <n v="6.5805413478845951"/>
    <x v="0"/>
    <x v="1"/>
    <n v="16"/>
    <n v="358"/>
    <n v="21"/>
    <n v="1.5972227430506774"/>
    <x v="0"/>
    <n v="4.9110959548423309E-2"/>
    <x v="1"/>
    <s v="Route C"/>
    <n v="555.85910367174347"/>
    <n v="7798.7205828102515"/>
    <n v="0.93346653876901275"/>
    <x v="1"/>
    <x v="1"/>
    <x v="0"/>
    <x v="1"/>
    <n v="1.439943402162931E-2"/>
    <x v="1"/>
  </r>
  <r>
    <x v="0"/>
    <x v="2"/>
    <n v="14.843523275084339"/>
    <n v="95"/>
    <n v="736"/>
    <n v="7460.9000654458487"/>
    <x v="0"/>
    <n v="53"/>
    <n v="30"/>
    <n v="37"/>
    <n v="2"/>
    <x v="1"/>
    <n v="9.7165747714313095"/>
    <x v="1"/>
    <x v="2"/>
    <n v="23"/>
    <n v="517"/>
    <n v="30"/>
    <n v="33.616768953730002"/>
    <x v="1"/>
    <n v="4.8540680263887061E-2"/>
    <x v="0"/>
    <s v="Route B"/>
    <n v="503.06557914966919"/>
    <n v="6957.8344862961794"/>
    <n v="0.93257307097845343"/>
    <x v="1"/>
    <x v="2"/>
    <x v="0"/>
    <x v="2"/>
    <n v="1.3201867895966453E-2"/>
    <x v="1"/>
  </r>
  <r>
    <x v="2"/>
    <x v="3"/>
    <n v="89.104367292102253"/>
    <n v="99"/>
    <n v="618"/>
    <n v="2048.2900998487103"/>
    <x v="2"/>
    <n v="73"/>
    <n v="26"/>
    <n v="80"/>
    <n v="10"/>
    <x v="1"/>
    <n v="8.381615624922631"/>
    <x v="0"/>
    <x v="3"/>
    <n v="24"/>
    <n v="589"/>
    <n v="22"/>
    <n v="33.808636513209095"/>
    <x v="2"/>
    <n v="4.843456577118041E-2"/>
    <x v="2"/>
    <s v="Route B"/>
    <n v="465.45700596368795"/>
    <n v="1582.8330938850222"/>
    <n v="0.77275826017121918"/>
    <x v="1"/>
    <x v="0"/>
    <x v="0"/>
    <x v="3"/>
    <n v="1.3562484829971895E-2"/>
    <x v="1"/>
  </r>
  <r>
    <x v="0"/>
    <x v="4"/>
    <n v="14.203484264803022"/>
    <n v="91"/>
    <n v="633"/>
    <n v="5910.8853896688988"/>
    <x v="0"/>
    <n v="31"/>
    <n v="23"/>
    <n v="82"/>
    <n v="10"/>
    <x v="1"/>
    <n v="6.2478609149759912"/>
    <x v="2"/>
    <x v="4"/>
    <n v="20"/>
    <n v="306"/>
    <n v="21"/>
    <n v="45.178757924634517"/>
    <x v="0"/>
    <n v="4.7548008046711894E-2"/>
    <x v="1"/>
    <s v="Route B"/>
    <n v="496.24865029194046"/>
    <n v="5414.6367393769588"/>
    <n v="0.91604495476104342"/>
    <x v="0"/>
    <x v="2"/>
    <x v="0"/>
    <x v="4"/>
    <n v="9.8702384122843455E-3"/>
    <x v="1"/>
  </r>
  <r>
    <x v="1"/>
    <x v="5"/>
    <n v="61.163343016437736"/>
    <n v="68"/>
    <n v="83"/>
    <n v="7766.8364256852328"/>
    <x v="3"/>
    <n v="23"/>
    <n v="13"/>
    <n v="59"/>
    <n v="6"/>
    <x v="0"/>
    <n v="1.7295685635434288"/>
    <x v="0"/>
    <x v="1"/>
    <n v="24"/>
    <n v="937"/>
    <n v="18"/>
    <n v="35.624741397125028"/>
    <x v="0"/>
    <n v="4.7466486206477497E-2"/>
    <x v="1"/>
    <s v="Route A"/>
    <n v="254.77615921928663"/>
    <n v="7512.0602664659464"/>
    <n v="0.96719691966516363"/>
    <x v="0"/>
    <x v="1"/>
    <x v="0"/>
    <x v="5"/>
    <n v="2.0838175464378661E-2"/>
    <x v="0"/>
  </r>
  <r>
    <x v="0"/>
    <x v="6"/>
    <n v="83.851017681304597"/>
    <n v="41"/>
    <n v="375"/>
    <n v="7910.8869161406856"/>
    <x v="1"/>
    <n v="17"/>
    <n v="25"/>
    <n v="66"/>
    <n v="5"/>
    <x v="2"/>
    <n v="1.5129368369160772"/>
    <x v="3"/>
    <x v="3"/>
    <n v="13"/>
    <n v="444"/>
    <n v="4"/>
    <n v="46.870238797617155"/>
    <x v="0"/>
    <n v="4.62054606451371E-2"/>
    <x v="0"/>
    <s v="Route A"/>
    <n v="866.4728001296578"/>
    <n v="7044.4141160110275"/>
    <n v="0.89047083982937714"/>
    <x v="0"/>
    <x v="1"/>
    <x v="0"/>
    <x v="6"/>
    <n v="4.0344982317762059E-3"/>
    <x v="0"/>
  </r>
  <r>
    <x v="1"/>
    <x v="7"/>
    <n v="11.319683293090566"/>
    <n v="34"/>
    <n v="8"/>
    <n v="9577.7496258687297"/>
    <x v="2"/>
    <n v="1"/>
    <n v="10"/>
    <n v="88"/>
    <n v="2"/>
    <x v="2"/>
    <n v="8.0544792617321548"/>
    <x v="4"/>
    <x v="2"/>
    <n v="12"/>
    <n v="971"/>
    <n v="27"/>
    <n v="30.688019348284204"/>
    <x v="1"/>
    <n v="4.5805926191992287E-2"/>
    <x v="2"/>
    <s v="Route C"/>
    <n v="141.92028177151906"/>
    <n v="9435.8293440972102"/>
    <n v="0.98518229361642484"/>
    <x v="2"/>
    <x v="1"/>
    <x v="0"/>
    <x v="7"/>
    <n v="1.0068099077165193"/>
    <x v="0"/>
  </r>
  <r>
    <x v="1"/>
    <x v="8"/>
    <n v="79.855058340789427"/>
    <n v="16"/>
    <n v="701"/>
    <n v="2925.6751703038126"/>
    <x v="1"/>
    <n v="97"/>
    <n v="11"/>
    <n v="11"/>
    <n v="5"/>
    <x v="1"/>
    <n v="5.0143649550309073"/>
    <x v="2"/>
    <x v="4"/>
    <n v="27"/>
    <n v="918"/>
    <n v="5"/>
    <n v="30.323545256616502"/>
    <x v="0"/>
    <n v="4.5489196593963853E-2"/>
    <x v="3"/>
    <s v="Route B"/>
    <n v="323.01292795247883"/>
    <n v="2602.6622423513336"/>
    <n v="0.88959371456164216"/>
    <x v="1"/>
    <x v="0"/>
    <x v="0"/>
    <x v="8"/>
    <n v="7.153159707604718E-3"/>
    <x v="0"/>
  </r>
  <r>
    <x v="2"/>
    <x v="9"/>
    <n v="52.028749903294923"/>
    <n v="23"/>
    <n v="117"/>
    <n v="6885.5893508962527"/>
    <x v="2"/>
    <n v="32"/>
    <n v="23"/>
    <n v="36"/>
    <n v="7"/>
    <x v="0"/>
    <n v="9.0303404225219488"/>
    <x v="3"/>
    <x v="1"/>
    <n v="14"/>
    <n v="480"/>
    <n v="12"/>
    <n v="78.702393968878894"/>
    <x v="0"/>
    <n v="4.3674705382050531E-2"/>
    <x v="2"/>
    <s v="Route A"/>
    <n v="164.36652824341942"/>
    <n v="6721.2228226528332"/>
    <n v="0.97612890925276785"/>
    <x v="1"/>
    <x v="2"/>
    <x v="0"/>
    <x v="9"/>
    <n v="7.7182396773691875E-2"/>
    <x v="0"/>
  </r>
  <r>
    <x v="2"/>
    <x v="10"/>
    <n v="96.341072439963384"/>
    <n v="22"/>
    <n v="320"/>
    <n v="8128.0276968511916"/>
    <x v="2"/>
    <n v="27"/>
    <n v="12"/>
    <n v="68"/>
    <n v="6"/>
    <x v="1"/>
    <n v="8.8783346509268402"/>
    <x v="4"/>
    <x v="3"/>
    <n v="29"/>
    <n v="309"/>
    <n v="6"/>
    <n v="65.686259608488626"/>
    <x v="2"/>
    <n v="4.231416573534539E-2"/>
    <x v="2"/>
    <s v="Route B"/>
    <n v="493.87121531620585"/>
    <n v="7634.1564815349857"/>
    <n v="0.93923849256720271"/>
    <x v="0"/>
    <x v="1"/>
    <x v="0"/>
    <x v="10"/>
    <n v="2.7744795784146375E-2"/>
    <x v="0"/>
  </r>
  <r>
    <x v="1"/>
    <x v="11"/>
    <n v="80.541424170940331"/>
    <n v="97"/>
    <n v="933"/>
    <n v="5724.9593504562654"/>
    <x v="0"/>
    <n v="90"/>
    <n v="20"/>
    <n v="39"/>
    <n v="8"/>
    <x v="0"/>
    <n v="7.2295951397364737"/>
    <x v="4"/>
    <x v="1"/>
    <n v="18"/>
    <n v="793"/>
    <n v="1"/>
    <n v="88.179407104217461"/>
    <x v="1"/>
    <n v="4.2132694305865658E-2"/>
    <x v="0"/>
    <s v="Route A"/>
    <n v="529.80872398069187"/>
    <n v="5195.1506264755735"/>
    <n v="0.90745633435135786"/>
    <x v="1"/>
    <x v="2"/>
    <x v="0"/>
    <x v="11"/>
    <n v="7.7487622076489538E-3"/>
    <x v="0"/>
  </r>
  <r>
    <x v="2"/>
    <x v="12"/>
    <n v="69.290831002905492"/>
    <n v="88"/>
    <n v="114"/>
    <n v="4531.4021336919095"/>
    <x v="2"/>
    <n v="63"/>
    <n v="17"/>
    <n v="66"/>
    <n v="1"/>
    <x v="0"/>
    <n v="7.0064320590043945"/>
    <x v="3"/>
    <x v="3"/>
    <n v="21"/>
    <n v="824"/>
    <n v="20"/>
    <n v="35.633652343343876"/>
    <x v="0"/>
    <n v="4.165781795424145E-2"/>
    <x v="2"/>
    <s v="Route A"/>
    <n v="823.52384588815585"/>
    <n v="3707.8782878037537"/>
    <n v="0.81826290812614355"/>
    <x v="1"/>
    <x v="2"/>
    <x v="0"/>
    <x v="7"/>
    <n v="6.1459930342143809E-2"/>
    <x v="0"/>
  </r>
  <r>
    <x v="0"/>
    <x v="13"/>
    <n v="17.034930739467917"/>
    <n v="13"/>
    <n v="336"/>
    <n v="2943.3818676094515"/>
    <x v="2"/>
    <n v="42"/>
    <n v="19"/>
    <n v="72"/>
    <n v="1"/>
    <x v="1"/>
    <n v="4.7081818735419301"/>
    <x v="2"/>
    <x v="2"/>
    <n v="6"/>
    <n v="955"/>
    <n v="26"/>
    <n v="4.4652784349432402"/>
    <x v="1"/>
    <n v="4.1378770486223571E-2"/>
    <x v="0"/>
    <s v="Route C"/>
    <n v="589.97855562804068"/>
    <n v="2353.4033119814108"/>
    <n v="0.79955758981854164"/>
    <x v="1"/>
    <x v="0"/>
    <x v="0"/>
    <x v="1"/>
    <n v="1.4012446052208125E-2"/>
    <x v="1"/>
  </r>
  <r>
    <x v="0"/>
    <x v="14"/>
    <n v="6.3068831761119197"/>
    <n v="50"/>
    <n v="946"/>
    <n v="1292.4584179377562"/>
    <x v="2"/>
    <n v="5"/>
    <n v="4"/>
    <n v="51"/>
    <n v="5"/>
    <x v="2"/>
    <n v="8.4670497708619905"/>
    <x v="0"/>
    <x v="2"/>
    <n v="25"/>
    <n v="858"/>
    <n v="21"/>
    <n v="71.126514720403378"/>
    <x v="1"/>
    <n v="4.096881332470452E-2"/>
    <x v="3"/>
    <s v="Route C"/>
    <n v="323.59220343132216"/>
    <n v="968.86621450643406"/>
    <n v="0.74963047248541648"/>
    <x v="2"/>
    <x v="0"/>
    <x v="0"/>
    <x v="12"/>
    <n v="8.9503697366405816E-3"/>
    <x v="0"/>
  </r>
  <r>
    <x v="0"/>
    <x v="15"/>
    <n v="63.447559185207332"/>
    <n v="3"/>
    <n v="253"/>
    <n v="8318.9031946171781"/>
    <x v="0"/>
    <n v="45"/>
    <n v="5"/>
    <n v="67"/>
    <n v="7"/>
    <x v="2"/>
    <n v="8.1009731453970311"/>
    <x v="4"/>
    <x v="1"/>
    <n v="16"/>
    <n v="329"/>
    <n v="7"/>
    <n v="39.292875586065747"/>
    <x v="2"/>
    <n v="3.878098936588488E-2"/>
    <x v="0"/>
    <s v="Route B"/>
    <n v="764.93537594070813"/>
    <n v="7553.9678186764704"/>
    <n v="0.90804853019137599"/>
    <x v="1"/>
    <x v="1"/>
    <x v="0"/>
    <x v="13"/>
    <n v="3.2019656701174036E-2"/>
    <x v="0"/>
  </r>
  <r>
    <x v="0"/>
    <x v="16"/>
    <n v="24.42313142037338"/>
    <n v="29"/>
    <n v="324"/>
    <n v="7698.4247656321168"/>
    <x v="3"/>
    <n v="67"/>
    <n v="2"/>
    <n v="32"/>
    <n v="3"/>
    <x v="0"/>
    <n v="5.3528780439968093"/>
    <x v="1"/>
    <x v="2"/>
    <n v="28"/>
    <n v="648"/>
    <n v="28"/>
    <n v="17.80375633139127"/>
    <x v="1"/>
    <n v="3.8720476814821332E-2"/>
    <x v="0"/>
    <s v="Route A"/>
    <n v="188.74214114905698"/>
    <n v="7509.68262448306"/>
    <n v="0.97548301803355231"/>
    <x v="1"/>
    <x v="2"/>
    <x v="0"/>
    <x v="14"/>
    <n v="1.6521228530854349E-2"/>
    <x v="0"/>
  </r>
  <r>
    <x v="1"/>
    <x v="17"/>
    <n v="64.015732941278543"/>
    <n v="35"/>
    <n v="980"/>
    <n v="4971.145987585558"/>
    <x v="2"/>
    <n v="14"/>
    <n v="27"/>
    <n v="83"/>
    <n v="1"/>
    <x v="1"/>
    <n v="7.1666452910482157"/>
    <x v="2"/>
    <x v="3"/>
    <n v="29"/>
    <n v="963"/>
    <n v="23"/>
    <n v="47.95760163495158"/>
    <x v="1"/>
    <n v="3.844614478767585E-2"/>
    <x v="1"/>
    <s v="Route B"/>
    <n v="995.92946149864167"/>
    <n v="3975.2165260869165"/>
    <n v="0.79965797343594902"/>
    <x v="2"/>
    <x v="2"/>
    <x v="0"/>
    <x v="15"/>
    <n v="7.3129033582124648E-3"/>
    <x v="1"/>
  </r>
  <r>
    <x v="1"/>
    <x v="18"/>
    <n v="9.8130025787540518"/>
    <n v="34"/>
    <n v="963"/>
    <n v="7573.4024578487333"/>
    <x v="0"/>
    <n v="18"/>
    <n v="23"/>
    <n v="28"/>
    <n v="3"/>
    <x v="2"/>
    <n v="2.107951267159081"/>
    <x v="2"/>
    <x v="4"/>
    <n v="26"/>
    <n v="671"/>
    <n v="19"/>
    <n v="45.531364237162144"/>
    <x v="0"/>
    <n v="3.8055333792433539E-2"/>
    <x v="2"/>
    <s v="Route C"/>
    <n v="403.8089742481805"/>
    <n v="7169.5934836005526"/>
    <n v="0.94668063971304062"/>
    <x v="1"/>
    <x v="2"/>
    <x v="0"/>
    <x v="16"/>
    <n v="2.1889421258142064E-3"/>
    <x v="1"/>
  </r>
  <r>
    <x v="0"/>
    <x v="19"/>
    <n v="39.629343985092625"/>
    <n v="73"/>
    <n v="142"/>
    <n v="2174.777054350654"/>
    <x v="1"/>
    <n v="82"/>
    <n v="11"/>
    <n v="52"/>
    <n v="3"/>
    <x v="0"/>
    <n v="2.2310736812817278"/>
    <x v="3"/>
    <x v="1"/>
    <n v="19"/>
    <n v="934"/>
    <n v="23"/>
    <n v="78.280383118415386"/>
    <x v="1"/>
    <n v="3.7972312171141831E-2"/>
    <x v="0"/>
    <s v="Route B"/>
    <n v="458.53594573920907"/>
    <n v="1716.2411086114448"/>
    <n v="0.78915726335170522"/>
    <x v="1"/>
    <x v="0"/>
    <x v="0"/>
    <x v="0"/>
    <n v="1.571178648789949E-2"/>
    <x v="0"/>
  </r>
  <r>
    <x v="2"/>
    <x v="20"/>
    <n v="80.41403665035574"/>
    <n v="24"/>
    <n v="79"/>
    <n v="5133.8467010866916"/>
    <x v="1"/>
    <n v="5"/>
    <n v="7"/>
    <n v="55"/>
    <n v="10"/>
    <x v="1"/>
    <n v="6.5758037975485353"/>
    <x v="1"/>
    <x v="3"/>
    <n v="27"/>
    <n v="523"/>
    <n v="17"/>
    <n v="28.69699682414317"/>
    <x v="0"/>
    <n v="3.6937377878392755E-2"/>
    <x v="3"/>
    <s v="Route B"/>
    <n v="879.3592177349243"/>
    <n v="4254.487483351767"/>
    <n v="0.82871338609530576"/>
    <x v="2"/>
    <x v="2"/>
    <x v="0"/>
    <x v="17"/>
    <n v="8.3238022753778923E-2"/>
    <x v="0"/>
  </r>
  <r>
    <x v="0"/>
    <x v="21"/>
    <n v="4.1563083593111081"/>
    <n v="32"/>
    <n v="209"/>
    <n v="9049.0778609398967"/>
    <x v="1"/>
    <n v="4"/>
    <n v="26"/>
    <n v="2"/>
    <n v="8"/>
    <x v="0"/>
    <n v="9.7412916892843686"/>
    <x v="2"/>
    <x v="0"/>
    <n v="28"/>
    <n v="447"/>
    <n v="3"/>
    <n v="40.382359702924816"/>
    <x v="1"/>
    <n v="3.6913102926287279E-2"/>
    <x v="2"/>
    <s v="Route A"/>
    <n v="758.72477260293829"/>
    <n v="8290.3530883369585"/>
    <n v="0.91615446521043287"/>
    <x v="1"/>
    <x v="1"/>
    <x v="0"/>
    <x v="6"/>
    <n v="4.6609051144901284E-2"/>
    <x v="0"/>
  </r>
  <r>
    <x v="1"/>
    <x v="22"/>
    <n v="27.082207199888899"/>
    <n v="75"/>
    <n v="859"/>
    <n v="2556.7673606335957"/>
    <x v="3"/>
    <n v="92"/>
    <n v="29"/>
    <n v="6"/>
    <n v="8"/>
    <x v="2"/>
    <n v="4.0709558370840826"/>
    <x v="1"/>
    <x v="3"/>
    <n v="18"/>
    <n v="870"/>
    <n v="23"/>
    <n v="77.32235321105162"/>
    <x v="1"/>
    <n v="3.6486105925362035E-2"/>
    <x v="0"/>
    <s v="Route B"/>
    <n v="380.43593711196428"/>
    <n v="2176.3314235216312"/>
    <n v="0.85120432035799765"/>
    <x v="1"/>
    <x v="0"/>
    <x v="0"/>
    <x v="18"/>
    <n v="4.7391802527172091E-3"/>
    <x v="1"/>
  </r>
  <r>
    <x v="1"/>
    <x v="23"/>
    <n v="51.12387008796474"/>
    <n v="100"/>
    <n v="187"/>
    <n v="2553.4955849912149"/>
    <x v="2"/>
    <n v="48"/>
    <n v="11"/>
    <n v="94"/>
    <n v="3"/>
    <x v="1"/>
    <n v="4.7426358828418769"/>
    <x v="3"/>
    <x v="3"/>
    <n v="20"/>
    <n v="694"/>
    <n v="16"/>
    <n v="82.373320587990207"/>
    <x v="0"/>
    <n v="3.6464508654170294E-2"/>
    <x v="0"/>
    <s v="Route C"/>
    <n v="477.30763109090344"/>
    <n v="2076.1879539003112"/>
    <n v="0.81307677448263693"/>
    <x v="1"/>
    <x v="0"/>
    <x v="0"/>
    <x v="19"/>
    <n v="2.5361689213058165E-2"/>
    <x v="0"/>
  </r>
  <r>
    <x v="1"/>
    <x v="24"/>
    <n v="13.017376785287857"/>
    <n v="55"/>
    <n v="246"/>
    <n v="4256.9491408502254"/>
    <x v="3"/>
    <n v="54"/>
    <n v="19"/>
    <n v="10"/>
    <n v="4"/>
    <x v="1"/>
    <n v="2.45793352798733"/>
    <x v="1"/>
    <x v="0"/>
    <n v="18"/>
    <n v="736"/>
    <n v="10"/>
    <n v="20.075003975630484"/>
    <x v="1"/>
    <n v="3.6328432903821338E-2"/>
    <x v="3"/>
    <s v="Route A"/>
    <n v="687.28617786641735"/>
    <n v="3569.662962983808"/>
    <n v="0.83854959147359043"/>
    <x v="1"/>
    <x v="2"/>
    <x v="0"/>
    <x v="6"/>
    <n v="9.9915997072655693E-3"/>
    <x v="0"/>
  </r>
  <r>
    <x v="1"/>
    <x v="25"/>
    <n v="64.795435000155607"/>
    <n v="63"/>
    <n v="616"/>
    <n v="5149.9983504080365"/>
    <x v="3"/>
    <n v="4"/>
    <n v="17"/>
    <n v="95"/>
    <n v="9"/>
    <x v="0"/>
    <n v="4.85827050343664"/>
    <x v="0"/>
    <x v="3"/>
    <n v="1"/>
    <n v="251"/>
    <n v="23"/>
    <n v="23.853427512896133"/>
    <x v="0"/>
    <n v="3.541046012250923E-2"/>
    <x v="3"/>
    <s v="Route A"/>
    <n v="371.25529551987103"/>
    <n v="4778.7430548881657"/>
    <n v="0.92791157001235625"/>
    <x v="2"/>
    <x v="2"/>
    <x v="0"/>
    <x v="20"/>
    <n v="7.8868027653192212E-3"/>
    <x v="1"/>
  </r>
  <r>
    <x v="1"/>
    <x v="26"/>
    <n v="26.034869773962086"/>
    <n v="52"/>
    <n v="704"/>
    <n v="8367.721618020154"/>
    <x v="0"/>
    <n v="13"/>
    <n v="17"/>
    <n v="19"/>
    <n v="8"/>
    <x v="1"/>
    <n v="2.2161427287713633"/>
    <x v="0"/>
    <x v="1"/>
    <n v="24"/>
    <n v="867"/>
    <n v="28"/>
    <n v="42.084436738309961"/>
    <x v="0"/>
    <n v="3.4480632883402619E-2"/>
    <x v="0"/>
    <s v="Route A"/>
    <n v="393.84334857842788"/>
    <n v="7973.8782694417259"/>
    <n v="0.95293302447702444"/>
    <x v="1"/>
    <x v="1"/>
    <x v="0"/>
    <x v="1"/>
    <n v="3.1479300124593228E-3"/>
    <x v="1"/>
  </r>
  <r>
    <x v="1"/>
    <x v="27"/>
    <n v="3.5261112591434158"/>
    <n v="56"/>
    <n v="62"/>
    <n v="4370.9165799845359"/>
    <x v="1"/>
    <n v="46"/>
    <n v="19"/>
    <n v="4"/>
    <n v="9"/>
    <x v="1"/>
    <n v="7.9048456112096748"/>
    <x v="3"/>
    <x v="2"/>
    <n v="10"/>
    <n v="535"/>
    <n v="13"/>
    <n v="65.765155926367456"/>
    <x v="0"/>
    <n v="3.3762378347179808E-2"/>
    <x v="0"/>
    <s v="Route A"/>
    <n v="540.13242286796776"/>
    <n v="3830.7841571165682"/>
    <n v="0.87642582213960285"/>
    <x v="1"/>
    <x v="2"/>
    <x v="0"/>
    <x v="21"/>
    <n v="0.12749750985822056"/>
    <x v="0"/>
  </r>
  <r>
    <x v="0"/>
    <x v="28"/>
    <n v="33.78413803306551"/>
    <n v="1"/>
    <n v="24"/>
    <n v="5267.9568075105208"/>
    <x v="1"/>
    <n v="93"/>
    <n v="7"/>
    <n v="52"/>
    <n v="6"/>
    <x v="2"/>
    <n v="5.2151550087119096"/>
    <x v="2"/>
    <x v="3"/>
    <n v="25"/>
    <n v="794"/>
    <n v="25"/>
    <n v="66.312544439991655"/>
    <x v="2"/>
    <n v="3.2196046120841058E-2"/>
    <x v="1"/>
    <s v="Route A"/>
    <n v="495.30569702847396"/>
    <n v="4772.6511104820465"/>
    <n v="0.90597764652847623"/>
    <x v="1"/>
    <x v="2"/>
    <x v="0"/>
    <x v="21"/>
    <n v="0.21729812536299623"/>
    <x v="0"/>
  </r>
  <r>
    <x v="2"/>
    <x v="29"/>
    <n v="90.204427520528071"/>
    <n v="88"/>
    <n v="478"/>
    <n v="2633.1219813122557"/>
    <x v="3"/>
    <n v="57"/>
    <n v="29"/>
    <n v="77"/>
    <n v="9"/>
    <x v="1"/>
    <n v="6.5996141596895441"/>
    <x v="4"/>
    <x v="0"/>
    <n v="21"/>
    <n v="152"/>
    <n v="11"/>
    <n v="55.760492895244212"/>
    <x v="1"/>
    <n v="3.2133296074383089E-2"/>
    <x v="1"/>
    <s v="Route B"/>
    <n v="677.9445698461833"/>
    <n v="1955.1774114660725"/>
    <n v="0.74253203054864958"/>
    <x v="1"/>
    <x v="0"/>
    <x v="0"/>
    <x v="20"/>
    <n v="1.3806724183450929E-2"/>
    <x v="1"/>
  </r>
  <r>
    <x v="0"/>
    <x v="30"/>
    <n v="4.8054960363458932"/>
    <n v="26"/>
    <n v="871"/>
    <n v="2686.5051515674468"/>
    <x v="3"/>
    <n v="5"/>
    <n v="3"/>
    <n v="56"/>
    <n v="8"/>
    <x v="1"/>
    <n v="3.8905479158706715"/>
    <x v="4"/>
    <x v="4"/>
    <n v="5"/>
    <n v="414"/>
    <n v="3"/>
    <n v="92.065160598712851"/>
    <x v="0"/>
    <n v="3.1455795228330016E-2"/>
    <x v="2"/>
    <s v="Route A"/>
    <n v="923.44063171192215"/>
    <n v="1763.0645198555246"/>
    <n v="0.6562669417651632"/>
    <x v="2"/>
    <x v="0"/>
    <x v="0"/>
    <x v="22"/>
    <n v="4.4667599493348701E-3"/>
    <x v="0"/>
  </r>
  <r>
    <x v="0"/>
    <x v="31"/>
    <n v="57.449742958971477"/>
    <n v="14"/>
    <n v="359"/>
    <n v="2483.7601775427947"/>
    <x v="2"/>
    <n v="96"/>
    <n v="28"/>
    <n v="57"/>
    <n v="4"/>
    <x v="2"/>
    <n v="6.7809466256178954"/>
    <x v="4"/>
    <x v="1"/>
    <n v="26"/>
    <n v="334"/>
    <n v="5"/>
    <n v="42.952444748991837"/>
    <x v="2"/>
    <n v="3.0551418183075479E-2"/>
    <x v="0"/>
    <s v="Route B"/>
    <n v="852.56809891984994"/>
    <n v="1631.1920786229448"/>
    <n v="0.65674298725438829"/>
    <x v="1"/>
    <x v="0"/>
    <x v="0"/>
    <x v="23"/>
    <n v="1.8888430712027563E-2"/>
    <x v="0"/>
  </r>
  <r>
    <x v="1"/>
    <x v="32"/>
    <n v="50.847393051718697"/>
    <n v="28"/>
    <n v="168"/>
    <n v="9655.1351027193978"/>
    <x v="1"/>
    <n v="6"/>
    <n v="17"/>
    <n v="44"/>
    <n v="4"/>
    <x v="2"/>
    <n v="2.6796609649814065"/>
    <x v="1"/>
    <x v="3"/>
    <n v="24"/>
    <n v="461"/>
    <n v="8"/>
    <n v="60.25114566159808"/>
    <x v="1"/>
    <n v="2.9890000066550747E-2"/>
    <x v="1"/>
    <s v="Route C"/>
    <n v="609.37920661842668"/>
    <n v="9045.7558961009709"/>
    <n v="0.9368854811315076"/>
    <x v="2"/>
    <x v="1"/>
    <x v="0"/>
    <x v="12"/>
    <n v="1.5950362886794085E-2"/>
    <x v="0"/>
  </r>
  <r>
    <x v="0"/>
    <x v="33"/>
    <n v="51.35579091311039"/>
    <n v="34"/>
    <n v="919"/>
    <n v="7152.2860494355145"/>
    <x v="0"/>
    <n v="13"/>
    <n v="19"/>
    <n v="72"/>
    <n v="6"/>
    <x v="0"/>
    <n v="7.5774496573766932"/>
    <x v="2"/>
    <x v="4"/>
    <n v="7"/>
    <n v="834"/>
    <n v="18"/>
    <n v="22.554106620887744"/>
    <x v="0"/>
    <n v="2.9626263204548819E-2"/>
    <x v="1"/>
    <s v="Route A"/>
    <n v="610.45326961922774"/>
    <n v="6541.8327798162863"/>
    <n v="0.91464920930177174"/>
    <x v="2"/>
    <x v="2"/>
    <x v="0"/>
    <x v="7"/>
    <n v="8.2453206282662606E-3"/>
    <x v="0"/>
  </r>
  <r>
    <x v="0"/>
    <x v="34"/>
    <n v="19.754604866878601"/>
    <n v="43"/>
    <n v="913"/>
    <n v="8525.9525596835265"/>
    <x v="0"/>
    <n v="53"/>
    <n v="1"/>
    <n v="27"/>
    <n v="7"/>
    <x v="2"/>
    <n v="1.4098010951380731"/>
    <x v="0"/>
    <x v="3"/>
    <n v="28"/>
    <n v="581"/>
    <n v="9"/>
    <n v="5.604690864371781"/>
    <x v="1"/>
    <n v="2.9081221693512613E-2"/>
    <x v="1"/>
    <s v="Route A"/>
    <n v="882.19886354704147"/>
    <n v="7643.7536961364849"/>
    <n v="0.89652782403239317"/>
    <x v="1"/>
    <x v="1"/>
    <x v="0"/>
    <x v="24"/>
    <n v="1.5441413966463013E-3"/>
    <x v="0"/>
  </r>
  <r>
    <x v="2"/>
    <x v="35"/>
    <n v="92.557360812402024"/>
    <n v="42"/>
    <n v="352"/>
    <n v="2686.4572235759833"/>
    <x v="2"/>
    <n v="47"/>
    <n v="9"/>
    <n v="62"/>
    <n v="8"/>
    <x v="0"/>
    <n v="7.406750952998074"/>
    <x v="0"/>
    <x v="2"/>
    <n v="25"/>
    <n v="291"/>
    <n v="4"/>
    <n v="10.528245070042162"/>
    <x v="0"/>
    <n v="2.8646678378833734E-2"/>
    <x v="3"/>
    <s v="Route B"/>
    <n v="762.45918215568372"/>
    <n v="1923.9980414202996"/>
    <n v="0.71618413445617313"/>
    <x v="1"/>
    <x v="0"/>
    <x v="0"/>
    <x v="25"/>
    <n v="2.10419061164718E-2"/>
    <x v="0"/>
  </r>
  <r>
    <x v="0"/>
    <x v="36"/>
    <n v="17.028027920188702"/>
    <n v="16"/>
    <n v="380"/>
    <n v="8864.0843495864356"/>
    <x v="0"/>
    <n v="41"/>
    <n v="27"/>
    <n v="72"/>
    <n v="8"/>
    <x v="0"/>
    <n v="4.3813681581023145"/>
    <x v="3"/>
    <x v="2"/>
    <n v="29"/>
    <n v="929"/>
    <n v="24"/>
    <n v="87.213057815135684"/>
    <x v="0"/>
    <n v="2.8530906166490538E-2"/>
    <x v="1"/>
    <s v="Route A"/>
    <n v="430.16909697513654"/>
    <n v="8433.9152526112994"/>
    <n v="0.95147055465517927"/>
    <x v="1"/>
    <x v="1"/>
    <x v="0"/>
    <x v="26"/>
    <n v="1.1529916205532406E-2"/>
    <x v="1"/>
  </r>
  <r>
    <x v="0"/>
    <x v="37"/>
    <n v="91.128318350444331"/>
    <n v="75"/>
    <n v="872"/>
    <n v="8651.6726829820655"/>
    <x v="2"/>
    <n v="39"/>
    <n v="14"/>
    <n v="41"/>
    <n v="2"/>
    <x v="0"/>
    <n v="2.8331846794189746"/>
    <x v="1"/>
    <x v="3"/>
    <n v="8"/>
    <n v="202"/>
    <n v="5"/>
    <n v="76.961228023820013"/>
    <x v="0"/>
    <n v="2.8496621985053306E-2"/>
    <x v="3"/>
    <s v="Route B"/>
    <n v="787.77985049434449"/>
    <n v="7863.8928324877206"/>
    <n v="0.90894479260132943"/>
    <x v="1"/>
    <x v="1"/>
    <x v="0"/>
    <x v="27"/>
    <n v="3.2490649993336864E-3"/>
    <x v="0"/>
  </r>
  <r>
    <x v="2"/>
    <x v="38"/>
    <n v="78.897913205640037"/>
    <n v="19"/>
    <n v="99"/>
    <n v="8001.6132065190022"/>
    <x v="2"/>
    <n v="97"/>
    <n v="24"/>
    <n v="9"/>
    <n v="6"/>
    <x v="0"/>
    <n v="2.5056210329009154"/>
    <x v="0"/>
    <x v="4"/>
    <n v="28"/>
    <n v="177"/>
    <n v="28"/>
    <n v="14.147815443979217"/>
    <x v="2"/>
    <n v="2.8258139854001319E-2"/>
    <x v="1"/>
    <s v="Route A"/>
    <n v="336.89016851997792"/>
    <n v="7664.7230379990242"/>
    <n v="0.95789721899510094"/>
    <x v="1"/>
    <x v="1"/>
    <x v="0"/>
    <x v="18"/>
    <n v="2.530930336263551E-2"/>
    <x v="1"/>
  </r>
  <r>
    <x v="1"/>
    <x v="39"/>
    <n v="1.6999760138659377"/>
    <n v="87"/>
    <n v="147"/>
    <n v="2828.3487459757589"/>
    <x v="3"/>
    <n v="90"/>
    <n v="27"/>
    <n v="66"/>
    <n v="3"/>
    <x v="2"/>
    <n v="4.4440988643822932"/>
    <x v="3"/>
    <x v="0"/>
    <n v="10"/>
    <n v="104"/>
    <n v="17"/>
    <n v="56.766475557431797"/>
    <x v="0"/>
    <n v="2.7791935115711618E-2"/>
    <x v="0"/>
    <s v="Route A"/>
    <n v="235.46123673553751"/>
    <n v="2592.8875092402213"/>
    <n v="0.91674957443965943"/>
    <x v="1"/>
    <x v="0"/>
    <x v="0"/>
    <x v="4"/>
    <n v="3.0231965063825125E-2"/>
    <x v="1"/>
  </r>
  <r>
    <x v="1"/>
    <x v="40"/>
    <n v="68.717596748527328"/>
    <n v="78"/>
    <n v="150"/>
    <n v="7517.363210631127"/>
    <x v="0"/>
    <n v="5"/>
    <n v="10"/>
    <n v="15"/>
    <n v="7"/>
    <x v="0"/>
    <n v="3.4047338570830266"/>
    <x v="3"/>
    <x v="2"/>
    <n v="13"/>
    <n v="769"/>
    <n v="8"/>
    <n v="11.423027139565695"/>
    <x v="1"/>
    <n v="2.7098626911099613E-2"/>
    <x v="3"/>
    <s v="Route B"/>
    <n v="505.55713422546415"/>
    <n v="7011.8060764056627"/>
    <n v="0.93274807667793669"/>
    <x v="0"/>
    <x v="2"/>
    <x v="0"/>
    <x v="10"/>
    <n v="2.2698225713886844E-2"/>
    <x v="0"/>
  </r>
  <r>
    <x v="2"/>
    <x v="41"/>
    <n v="23.399844752614349"/>
    <n v="5"/>
    <n v="963"/>
    <n v="2438.3399304700288"/>
    <x v="0"/>
    <n v="25"/>
    <n v="8"/>
    <n v="21"/>
    <n v="9"/>
    <x v="1"/>
    <n v="1.5326552735904306"/>
    <x v="1"/>
    <x v="1"/>
    <n v="24"/>
    <n v="867"/>
    <n v="15"/>
    <n v="34.343277465075381"/>
    <x v="1"/>
    <n v="2.6102880848481131E-2"/>
    <x v="3"/>
    <s v="Route A"/>
    <n v="183.93296804359437"/>
    <n v="2254.4069624264343"/>
    <n v="0.92456631425949765"/>
    <x v="1"/>
    <x v="0"/>
    <x v="0"/>
    <x v="28"/>
    <n v="1.5915423401769789E-3"/>
    <x v="0"/>
  </r>
  <r>
    <x v="2"/>
    <x v="42"/>
    <n v="27.679780886501959"/>
    <n v="55"/>
    <n v="884"/>
    <n v="2390.8078665561734"/>
    <x v="2"/>
    <n v="71"/>
    <n v="1"/>
    <n v="63"/>
    <n v="10"/>
    <x v="1"/>
    <n v="9.5676489209230393"/>
    <x v="3"/>
    <x v="1"/>
    <n v="22"/>
    <n v="780"/>
    <n v="28"/>
    <n v="50.120839612977349"/>
    <x v="0"/>
    <n v="2.591275473211116E-2"/>
    <x v="1"/>
    <s v="Route C"/>
    <n v="205.57199582694707"/>
    <n v="2185.2358707292265"/>
    <n v="0.91401567700081976"/>
    <x v="1"/>
    <x v="0"/>
    <x v="0"/>
    <x v="6"/>
    <n v="1.0823132263487601E-2"/>
    <x v="0"/>
  </r>
  <r>
    <x v="1"/>
    <x v="43"/>
    <n v="72.819206930318217"/>
    <n v="9"/>
    <n v="774"/>
    <n v="4384.4134000458625"/>
    <x v="2"/>
    <n v="48"/>
    <n v="6"/>
    <n v="8"/>
    <n v="5"/>
    <x v="2"/>
    <n v="4.0662775015120438"/>
    <x v="1"/>
    <x v="4"/>
    <n v="28"/>
    <n v="698"/>
    <n v="1"/>
    <n v="19.789592941903603"/>
    <x v="1"/>
    <n v="2.5475471215487117E-2"/>
    <x v="1"/>
    <s v="Route B"/>
    <n v="276.77833594679885"/>
    <n v="4107.635064099064"/>
    <n v="0.93687220827673245"/>
    <x v="1"/>
    <x v="2"/>
    <x v="0"/>
    <x v="29"/>
    <n v="5.2535885032455347E-3"/>
    <x v="0"/>
  </r>
  <r>
    <x v="1"/>
    <x v="44"/>
    <n v="49.263205350734154"/>
    <n v="65"/>
    <n v="227"/>
    <n v="1605.8669003924058"/>
    <x v="2"/>
    <n v="5"/>
    <n v="18"/>
    <n v="51"/>
    <n v="1"/>
    <x v="2"/>
    <n v="9.1605585353818704"/>
    <x v="2"/>
    <x v="4"/>
    <n v="21"/>
    <n v="588"/>
    <n v="25"/>
    <n v="67.779622987078142"/>
    <x v="1"/>
    <n v="2.511174830212707E-2"/>
    <x v="1"/>
    <s v="Route A"/>
    <n v="482.19123860252813"/>
    <n v="1123.6756617898777"/>
    <n v="0.69973150422074148"/>
    <x v="2"/>
    <x v="0"/>
    <x v="0"/>
    <x v="30"/>
    <n v="4.0354883415779162E-2"/>
    <x v="1"/>
  </r>
  <r>
    <x v="0"/>
    <x v="45"/>
    <n v="31.146243160240854"/>
    <n v="11"/>
    <n v="622"/>
    <n v="6088.0214799408586"/>
    <x v="3"/>
    <n v="33"/>
    <n v="22"/>
    <n v="61"/>
    <n v="3"/>
    <x v="2"/>
    <n v="4.3051034712876355"/>
    <x v="4"/>
    <x v="1"/>
    <n v="26"/>
    <n v="497"/>
    <n v="29"/>
    <n v="30.186023375822508"/>
    <x v="2"/>
    <n v="2.4787719755397477E-2"/>
    <x v="0"/>
    <s v="Route B"/>
    <n v="814.06999658218751"/>
    <n v="5273.9514833586709"/>
    <n v="0.86628332385744211"/>
    <x v="1"/>
    <x v="2"/>
    <x v="0"/>
    <x v="26"/>
    <n v="6.9213882175042374E-3"/>
    <x v="1"/>
  </r>
  <r>
    <x v="1"/>
    <x v="46"/>
    <n v="36.98924492862691"/>
    <n v="94"/>
    <n v="469"/>
    <n v="5442.0867853976733"/>
    <x v="3"/>
    <n v="9"/>
    <n v="8"/>
    <n v="69"/>
    <n v="7"/>
    <x v="2"/>
    <n v="2.4220397232752044"/>
    <x v="4"/>
    <x v="0"/>
    <n v="14"/>
    <n v="580"/>
    <n v="7"/>
    <n v="97.121281751474314"/>
    <x v="2"/>
    <n v="2.2644057611985492E-2"/>
    <x v="3"/>
    <s v="Route B"/>
    <n v="127.86180000162541"/>
    <n v="5314.2249853960475"/>
    <n v="0.97650500533275075"/>
    <x v="2"/>
    <x v="2"/>
    <x v="0"/>
    <x v="31"/>
    <n v="5.1642638022925472E-3"/>
    <x v="0"/>
  </r>
  <r>
    <x v="1"/>
    <x v="47"/>
    <n v="36.443627770460935"/>
    <n v="23"/>
    <n v="620"/>
    <n v="9364.6735050761727"/>
    <x v="2"/>
    <n v="10"/>
    <n v="10"/>
    <n v="46"/>
    <n v="8"/>
    <x v="0"/>
    <n v="4.339224714110709"/>
    <x v="2"/>
    <x v="1"/>
    <n v="18"/>
    <n v="374"/>
    <n v="17"/>
    <n v="27.10798085484392"/>
    <x v="1"/>
    <n v="2.2319391107292638E-2"/>
    <x v="3"/>
    <s v="Route A"/>
    <n v="593.48025872065182"/>
    <n v="8771.1932463555204"/>
    <n v="0.93662563266098353"/>
    <x v="0"/>
    <x v="1"/>
    <x v="0"/>
    <x v="19"/>
    <n v="6.9987495388882399E-3"/>
    <x v="0"/>
  </r>
  <r>
    <x v="0"/>
    <x v="48"/>
    <n v="69.108799547430323"/>
    <n v="23"/>
    <n v="241"/>
    <n v="5328.3759842977579"/>
    <x v="1"/>
    <n v="38"/>
    <n v="1"/>
    <n v="22"/>
    <n v="10"/>
    <x v="1"/>
    <n v="7.0545383368369263"/>
    <x v="2"/>
    <x v="0"/>
    <n v="25"/>
    <n v="985"/>
    <n v="24"/>
    <n v="64.323597795600222"/>
    <x v="1"/>
    <n v="2.1800374515822164E-2"/>
    <x v="1"/>
    <s v="Route A"/>
    <n v="997.4134501331946"/>
    <n v="4330.9625341645633"/>
    <n v="0.81281098535980156"/>
    <x v="1"/>
    <x v="2"/>
    <x v="0"/>
    <x v="12"/>
    <n v="2.9271943306377286E-2"/>
    <x v="0"/>
  </r>
  <r>
    <x v="1"/>
    <x v="49"/>
    <n v="71.213389075360084"/>
    <n v="41"/>
    <n v="336"/>
    <n v="2873.7414460214413"/>
    <x v="2"/>
    <n v="100"/>
    <n v="30"/>
    <n v="85"/>
    <n v="4"/>
    <x v="1"/>
    <n v="1.325274010184522"/>
    <x v="3"/>
    <x v="1"/>
    <n v="3"/>
    <n v="563"/>
    <n v="3"/>
    <n v="32.321286213424031"/>
    <x v="0"/>
    <n v="2.1612537475559118E-2"/>
    <x v="0"/>
    <s v="Route B"/>
    <n v="402.96878907377061"/>
    <n v="2470.7726569476708"/>
    <n v="0.85977555857307142"/>
    <x v="1"/>
    <x v="0"/>
    <x v="0"/>
    <x v="23"/>
    <n v="3.9442678874539346E-3"/>
    <x v="0"/>
  </r>
  <r>
    <x v="1"/>
    <x v="50"/>
    <n v="98.031829656465078"/>
    <n v="1"/>
    <n v="820"/>
    <n v="9435.7626089121295"/>
    <x v="1"/>
    <n v="64"/>
    <n v="11"/>
    <n v="11"/>
    <n v="1"/>
    <x v="2"/>
    <n v="8.6310521797689468"/>
    <x v="4"/>
    <x v="2"/>
    <n v="10"/>
    <n v="727"/>
    <n v="27"/>
    <n v="9.1668491485971515"/>
    <x v="1"/>
    <n v="2.1224716191438245E-2"/>
    <x v="2"/>
    <s v="Route C"/>
    <n v="602.89849883838338"/>
    <n v="8832.8641100737459"/>
    <n v="0.93610495263319338"/>
    <x v="1"/>
    <x v="1"/>
    <x v="0"/>
    <x v="32"/>
    <n v="1.052567338996213E-2"/>
    <x v="0"/>
  </r>
  <r>
    <x v="2"/>
    <x v="51"/>
    <n v="97.44694661789282"/>
    <n v="9"/>
    <n v="353"/>
    <n v="3716.4933258940368"/>
    <x v="1"/>
    <n v="59"/>
    <n v="16"/>
    <n v="48"/>
    <n v="4"/>
    <x v="2"/>
    <n v="6.5075486210785511"/>
    <x v="2"/>
    <x v="0"/>
    <n v="26"/>
    <n v="171"/>
    <n v="4"/>
    <n v="15.972229757181761"/>
    <x v="2"/>
    <n v="2.1193197367249228E-2"/>
    <x v="1"/>
    <s v="Route A"/>
    <n v="617.8669164583772"/>
    <n v="3098.6264094356598"/>
    <n v="0.83375002663034692"/>
    <x v="1"/>
    <x v="0"/>
    <x v="0"/>
    <x v="33"/>
    <n v="1.8434981929400993E-2"/>
    <x v="0"/>
  </r>
  <r>
    <x v="2"/>
    <x v="52"/>
    <n v="6.3815331627479663"/>
    <n v="14"/>
    <n v="637"/>
    <n v="8180.3370854254426"/>
    <x v="0"/>
    <n v="76"/>
    <n v="2"/>
    <n v="26"/>
    <n v="6"/>
    <x v="1"/>
    <n v="9.2281903170525172"/>
    <x v="2"/>
    <x v="0"/>
    <n v="2"/>
    <n v="258"/>
    <n v="10"/>
    <n v="30.661677477859556"/>
    <x v="1"/>
    <n v="2.0787506078749688E-2"/>
    <x v="0"/>
    <s v="Route A"/>
    <n v="405.16706788885585"/>
    <n v="7775.1700175365868"/>
    <n v="0.95047061463876292"/>
    <x v="1"/>
    <x v="1"/>
    <x v="0"/>
    <x v="13"/>
    <n v="1.4486954971824988E-2"/>
    <x v="0"/>
  </r>
  <r>
    <x v="0"/>
    <x v="53"/>
    <n v="19.998176940404221"/>
    <n v="18"/>
    <n v="223"/>
    <n v="1229.5910285649834"/>
    <x v="2"/>
    <n v="32"/>
    <n v="14"/>
    <n v="22"/>
    <n v="6"/>
    <x v="2"/>
    <n v="1.4543053101535515"/>
    <x v="4"/>
    <x v="2"/>
    <n v="4"/>
    <n v="569"/>
    <n v="18"/>
    <n v="74.608969995194684"/>
    <x v="2"/>
    <n v="2.0515129307662465E-2"/>
    <x v="1"/>
    <s v="Route A"/>
    <n v="264.25488983586649"/>
    <n v="965.3361387291169"/>
    <n v="0.78508716825604208"/>
    <x v="1"/>
    <x v="0"/>
    <x v="0"/>
    <x v="21"/>
    <n v="6.5215484760248943E-3"/>
    <x v="0"/>
  </r>
  <r>
    <x v="0"/>
    <x v="54"/>
    <n v="92.996884233970661"/>
    <n v="29"/>
    <n v="106"/>
    <n v="1889.073589779335"/>
    <x v="3"/>
    <n v="16"/>
    <n v="20"/>
    <n v="56"/>
    <n v="10"/>
    <x v="0"/>
    <n v="2.4738977610454609"/>
    <x v="4"/>
    <x v="3"/>
    <n v="25"/>
    <n v="759"/>
    <n v="11"/>
    <n v="48.064782640006591"/>
    <x v="2"/>
    <n v="2.0300690886687515E-2"/>
    <x v="2"/>
    <s v="Route C"/>
    <n v="873.12964801765145"/>
    <n v="1015.9439417616835"/>
    <n v="0.53780008743881558"/>
    <x v="0"/>
    <x v="0"/>
    <x v="0"/>
    <x v="5"/>
    <n v="2.3338658123070385E-2"/>
    <x v="0"/>
  </r>
  <r>
    <x v="1"/>
    <x v="55"/>
    <n v="37.931812382790319"/>
    <n v="29"/>
    <n v="163"/>
    <n v="3550.2184327809919"/>
    <x v="3"/>
    <n v="0"/>
    <n v="8"/>
    <n v="58"/>
    <n v="8"/>
    <x v="2"/>
    <n v="1.1942518648849991"/>
    <x v="2"/>
    <x v="0"/>
    <n v="2"/>
    <n v="375"/>
    <n v="18"/>
    <n v="97.113581563462205"/>
    <x v="0"/>
    <n v="1.98346787217418E-2"/>
    <x v="1"/>
    <s v="Route A"/>
    <n v="299.70630311810316"/>
    <n v="3250.5121296628886"/>
    <n v="0.91558088360120016"/>
    <x v="2"/>
    <x v="0"/>
    <x v="1"/>
    <x v="34"/>
    <n v="7.3266985575766814E-3"/>
    <x v="0"/>
  </r>
  <r>
    <x v="2"/>
    <x v="56"/>
    <n v="79.209936015656723"/>
    <n v="43"/>
    <n v="781"/>
    <n v="9571.5504873278187"/>
    <x v="2"/>
    <n v="89"/>
    <n v="13"/>
    <n v="64"/>
    <n v="4"/>
    <x v="0"/>
    <n v="6.5991049012385838"/>
    <x v="1"/>
    <x v="1"/>
    <n v="30"/>
    <n v="737"/>
    <n v="7"/>
    <n v="29.692467153749774"/>
    <x v="2"/>
    <n v="1.9460361193861131E-2"/>
    <x v="0"/>
    <s v="Route A"/>
    <n v="761.17390951487755"/>
    <n v="8810.3765778129418"/>
    <n v="0.92047538060603373"/>
    <x v="1"/>
    <x v="1"/>
    <x v="1"/>
    <x v="33"/>
    <n v="8.4495581321876873E-3"/>
    <x v="0"/>
  </r>
  <r>
    <x v="1"/>
    <x v="57"/>
    <n v="97.760085581938668"/>
    <n v="10"/>
    <n v="134"/>
    <n v="5924.682566853231"/>
    <x v="2"/>
    <n v="90"/>
    <n v="1"/>
    <n v="27"/>
    <n v="8"/>
    <x v="2"/>
    <n v="9.9298162452772587"/>
    <x v="4"/>
    <x v="1"/>
    <n v="23"/>
    <n v="370"/>
    <n v="11"/>
    <n v="46.603873381644469"/>
    <x v="1"/>
    <n v="1.9076657339590745E-2"/>
    <x v="1"/>
    <s v="Route B"/>
    <n v="517.4999739290605"/>
    <n v="5407.1825929241704"/>
    <n v="0.91265355264359427"/>
    <x v="1"/>
    <x v="2"/>
    <x v="1"/>
    <x v="13"/>
    <n v="7.4103106308039249E-2"/>
    <x v="0"/>
  </r>
  <r>
    <x v="1"/>
    <x v="58"/>
    <n v="72.796353955587364"/>
    <n v="89"/>
    <n v="270"/>
    <n v="3899.7468337292244"/>
    <x v="2"/>
    <n v="86"/>
    <n v="2"/>
    <n v="40"/>
    <n v="7"/>
    <x v="0"/>
    <n v="7.2917013887767759"/>
    <x v="2"/>
    <x v="2"/>
    <n v="13"/>
    <n v="751"/>
    <n v="14"/>
    <n v="21.048642725168644"/>
    <x v="2"/>
    <n v="1.8740014040443745E-2"/>
    <x v="3"/>
    <s v="Route C"/>
    <n v="320.84651575911158"/>
    <n v="3578.9003179701126"/>
    <n v="0.9177263218770807"/>
    <x v="1"/>
    <x v="0"/>
    <x v="1"/>
    <x v="8"/>
    <n v="2.7006301439913984E-2"/>
    <x v="0"/>
  </r>
  <r>
    <x v="2"/>
    <x v="59"/>
    <n v="47.914541824058766"/>
    <n v="90"/>
    <n v="32"/>
    <n v="7014.8879872033885"/>
    <x v="0"/>
    <n v="10"/>
    <n v="12"/>
    <n v="22"/>
    <n v="4"/>
    <x v="2"/>
    <n v="6.3157177546007226"/>
    <x v="4"/>
    <x v="0"/>
    <n v="22"/>
    <n v="775"/>
    <n v="16"/>
    <n v="11.440781823761265"/>
    <x v="2"/>
    <n v="1.8305755986122316E-2"/>
    <x v="0"/>
    <s v="Route C"/>
    <n v="183.27289874871101"/>
    <n v="6831.6150884546778"/>
    <n v="0.97387372413030138"/>
    <x v="0"/>
    <x v="2"/>
    <x v="1"/>
    <x v="35"/>
    <n v="0.19736617983127258"/>
    <x v="0"/>
  </r>
  <r>
    <x v="1"/>
    <x v="60"/>
    <n v="26.70076097246173"/>
    <n v="61"/>
    <n v="154"/>
    <n v="9866.465457979697"/>
    <x v="1"/>
    <n v="100"/>
    <n v="4"/>
    <n v="52"/>
    <n v="1"/>
    <x v="1"/>
    <n v="4.7830005579476653"/>
    <x v="0"/>
    <x v="0"/>
    <n v="18"/>
    <n v="673"/>
    <n v="28"/>
    <n v="14.190328344569981"/>
    <x v="1"/>
    <n v="1.7729511720835572E-2"/>
    <x v="0"/>
    <s v="Route A"/>
    <n v="694.98231757944586"/>
    <n v="9171.4831404002507"/>
    <n v="0.92956116650493459"/>
    <x v="1"/>
    <x v="1"/>
    <x v="1"/>
    <x v="21"/>
    <n v="3.1058445181478347E-2"/>
    <x v="0"/>
  </r>
  <r>
    <x v="2"/>
    <x v="61"/>
    <n v="59.84156137728931"/>
    <n v="81"/>
    <n v="896"/>
    <n v="2021.1498103371077"/>
    <x v="3"/>
    <n v="10"/>
    <n v="5"/>
    <n v="44"/>
    <n v="7"/>
    <x v="1"/>
    <n v="4.9384385647120901"/>
    <x v="1"/>
    <x v="4"/>
    <n v="18"/>
    <n v="396"/>
    <n v="7"/>
    <n v="65.047415094691459"/>
    <x v="0"/>
    <n v="1.7303747198591967E-2"/>
    <x v="0"/>
    <s v="Route B"/>
    <n v="110.36433523136472"/>
    <n v="1910.785475105743"/>
    <n v="0.94539527220253061"/>
    <x v="0"/>
    <x v="0"/>
    <x v="1"/>
    <x v="13"/>
    <n v="5.5116501838304577E-3"/>
    <x v="0"/>
  </r>
  <r>
    <x v="1"/>
    <x v="62"/>
    <n v="15.707795681912138"/>
    <n v="11"/>
    <n v="996"/>
    <n v="2330.9658020919492"/>
    <x v="3"/>
    <n v="51"/>
    <n v="13"/>
    <n v="80"/>
    <n v="2"/>
    <x v="0"/>
    <n v="8.6732112112786126"/>
    <x v="0"/>
    <x v="1"/>
    <n v="18"/>
    <n v="830"/>
    <n v="5"/>
    <n v="96.52735278531091"/>
    <x v="2"/>
    <n v="1.7273139283559426E-2"/>
    <x v="0"/>
    <s v="Route B"/>
    <n v="806.10317770292295"/>
    <n v="1524.8626243890262"/>
    <n v="0.65417631739621518"/>
    <x v="1"/>
    <x v="0"/>
    <x v="1"/>
    <x v="10"/>
    <n v="8.7080433848178845E-3"/>
    <x v="0"/>
  </r>
  <r>
    <x v="2"/>
    <x v="63"/>
    <n v="76.035544426891718"/>
    <n v="28"/>
    <n v="29"/>
    <n v="7397.0710045871801"/>
    <x v="3"/>
    <n v="30"/>
    <n v="16"/>
    <n v="9"/>
    <n v="3"/>
    <x v="0"/>
    <n v="7.0958331565551385"/>
    <x v="2"/>
    <x v="2"/>
    <n v="9"/>
    <n v="109"/>
    <n v="18"/>
    <n v="23.126363582464776"/>
    <x v="0"/>
    <n v="1.6981125407144037E-2"/>
    <x v="1"/>
    <s v="Route B"/>
    <n v="768.65191395437"/>
    <n v="6628.4190906328104"/>
    <n v="0.89608698990753199"/>
    <x v="1"/>
    <x v="2"/>
    <x v="1"/>
    <x v="0"/>
    <n v="0.2446839019501772"/>
    <x v="0"/>
  </r>
  <r>
    <x v="1"/>
    <x v="64"/>
    <n v="16.160393317379977"/>
    <n v="5"/>
    <n v="249"/>
    <n v="4052.7384162378667"/>
    <x v="1"/>
    <n v="80"/>
    <n v="8"/>
    <n v="48"/>
    <n v="9"/>
    <x v="1"/>
    <n v="9.5372830611083383"/>
    <x v="0"/>
    <x v="0"/>
    <n v="23"/>
    <n v="173"/>
    <n v="10"/>
    <n v="97.82905011017327"/>
    <x v="1"/>
    <n v="1.6310742300715386E-2"/>
    <x v="0"/>
    <s v="Route B"/>
    <n v="547.24100516096848"/>
    <n v="3505.4974110768981"/>
    <n v="0.86497006493970341"/>
    <x v="1"/>
    <x v="0"/>
    <x v="1"/>
    <x v="10"/>
    <n v="3.830234161087686E-2"/>
    <x v="0"/>
  </r>
  <r>
    <x v="0"/>
    <x v="65"/>
    <n v="3.0376887246314141"/>
    <n v="97"/>
    <n v="987"/>
    <n v="7888.3565466618729"/>
    <x v="2"/>
    <n v="77"/>
    <n v="26"/>
    <n v="72"/>
    <n v="9"/>
    <x v="2"/>
    <n v="6.9429459420325808"/>
    <x v="2"/>
    <x v="4"/>
    <n v="12"/>
    <n v="908"/>
    <n v="14"/>
    <n v="60.387378614862122"/>
    <x v="2"/>
    <n v="1.4636074984727798E-2"/>
    <x v="1"/>
    <s v="Route B"/>
    <n v="846.66525698669477"/>
    <n v="7041.6912896751783"/>
    <n v="0.89266899233339303"/>
    <x v="1"/>
    <x v="1"/>
    <x v="1"/>
    <x v="20"/>
    <n v="7.0343930517047428E-3"/>
    <x v="1"/>
  </r>
  <r>
    <x v="1"/>
    <x v="66"/>
    <n v="19.127477265823256"/>
    <n v="26"/>
    <n v="176"/>
    <n v="1912.4656631007608"/>
    <x v="0"/>
    <n v="78"/>
    <n v="29"/>
    <n v="34"/>
    <n v="3"/>
    <x v="1"/>
    <n v="5.5625037788303837"/>
    <x v="2"/>
    <x v="1"/>
    <n v="30"/>
    <n v="791"/>
    <n v="6"/>
    <n v="9.0058074287816421"/>
    <x v="0"/>
    <n v="1.451972203996816E-2"/>
    <x v="2"/>
    <s v="Route B"/>
    <n v="653.67299455203317"/>
    <n v="1258.7926685487278"/>
    <n v="0.65820406234525242"/>
    <x v="1"/>
    <x v="0"/>
    <x v="1"/>
    <x v="9"/>
    <n v="3.1605135106990818E-2"/>
    <x v="0"/>
  </r>
  <r>
    <x v="0"/>
    <x v="67"/>
    <n v="30.341470711214214"/>
    <n v="93"/>
    <n v="242"/>
    <n v="8232.3348294258212"/>
    <x v="1"/>
    <n v="96"/>
    <n v="25"/>
    <n v="54"/>
    <n v="3"/>
    <x v="2"/>
    <n v="1.0134865660958963"/>
    <x v="4"/>
    <x v="4"/>
    <n v="1"/>
    <n v="631"/>
    <n v="17"/>
    <n v="83.344058991677969"/>
    <x v="1"/>
    <n v="1.4103475760760271E-2"/>
    <x v="2"/>
    <s v="Route B"/>
    <n v="750.73784066827091"/>
    <n v="7481.5969887575502"/>
    <n v="0.90880620671734358"/>
    <x v="1"/>
    <x v="1"/>
    <x v="1"/>
    <x v="16"/>
    <n v="4.1879610169251909E-3"/>
    <x v="1"/>
  </r>
  <r>
    <x v="1"/>
    <x v="68"/>
    <n v="76.962994415193876"/>
    <n v="83"/>
    <n v="25"/>
    <n v="8684.6130592538575"/>
    <x v="0"/>
    <n v="15"/>
    <n v="18"/>
    <n v="66"/>
    <n v="2"/>
    <x v="0"/>
    <n v="8.2491687048717282"/>
    <x v="0"/>
    <x v="3"/>
    <n v="4"/>
    <n v="211"/>
    <n v="2"/>
    <n v="69.929345518672307"/>
    <x v="0"/>
    <n v="1.3744289997457582E-2"/>
    <x v="0"/>
    <s v="Route B"/>
    <n v="842.68683000464148"/>
    <n v="7841.9262292492158"/>
    <n v="0.90296783238871881"/>
    <x v="0"/>
    <x v="1"/>
    <x v="1"/>
    <x v="33"/>
    <n v="0.32996674819486915"/>
    <x v="0"/>
  </r>
  <r>
    <x v="0"/>
    <x v="69"/>
    <n v="54.865528517069791"/>
    <n v="62"/>
    <n v="511"/>
    <n v="1752.3810874841247"/>
    <x v="3"/>
    <n v="95"/>
    <n v="1"/>
    <n v="27"/>
    <n v="3"/>
    <x v="2"/>
    <n v="9.7052867901203488"/>
    <x v="3"/>
    <x v="1"/>
    <n v="9"/>
    <n v="862"/>
    <n v="7"/>
    <n v="77.627765812748166"/>
    <x v="1"/>
    <n v="1.3623879886491086E-2"/>
    <x v="2"/>
    <s v="Route A"/>
    <n v="207.66320620857562"/>
    <n v="1544.7178812755492"/>
    <n v="0.88149654907157471"/>
    <x v="1"/>
    <x v="0"/>
    <x v="1"/>
    <x v="36"/>
    <n v="1.8992733444462524E-2"/>
    <x v="0"/>
  </r>
  <r>
    <x v="0"/>
    <x v="70"/>
    <n v="4.3243411858641636"/>
    <n v="30"/>
    <n v="391"/>
    <n v="8858.367571011484"/>
    <x v="2"/>
    <n v="84"/>
    <n v="5"/>
    <n v="29"/>
    <n v="7"/>
    <x v="1"/>
    <n v="2.924857601145554"/>
    <x v="0"/>
    <x v="1"/>
    <n v="11"/>
    <n v="568"/>
    <n v="29"/>
    <n v="98.609957242703871"/>
    <x v="1"/>
    <n v="1.3422915627227338E-2"/>
    <x v="1"/>
    <s v="Route A"/>
    <n v="196.32944611241268"/>
    <n v="8662.0381248990707"/>
    <n v="0.97783683680558819"/>
    <x v="1"/>
    <x v="1"/>
    <x v="1"/>
    <x v="0"/>
    <n v="7.4804542228786549E-3"/>
    <x v="0"/>
  </r>
  <r>
    <x v="2"/>
    <x v="71"/>
    <n v="13.881913501359142"/>
    <n v="56"/>
    <n v="320"/>
    <n v="9592.6335702803117"/>
    <x v="3"/>
    <n v="66"/>
    <n v="18"/>
    <n v="96"/>
    <n v="7"/>
    <x v="2"/>
    <n v="7.6744307081126939"/>
    <x v="1"/>
    <x v="0"/>
    <n v="8"/>
    <n v="585"/>
    <n v="8"/>
    <n v="85.675963335797974"/>
    <x v="2"/>
    <n v="1.2193822244013885E-2"/>
    <x v="1"/>
    <s v="Route B"/>
    <n v="990.07847250581119"/>
    <n v="8602.5550977745006"/>
    <n v="0.89678762716703253"/>
    <x v="1"/>
    <x v="1"/>
    <x v="1"/>
    <x v="34"/>
    <n v="2.3982595962852168E-2"/>
    <x v="0"/>
  </r>
  <r>
    <x v="2"/>
    <x v="72"/>
    <n v="77.903927219447752"/>
    <n v="65"/>
    <n v="672"/>
    <n v="7386.3639440486641"/>
    <x v="2"/>
    <n v="15"/>
    <n v="14"/>
    <n v="26"/>
    <n v="9"/>
    <x v="2"/>
    <n v="8.6303388696027543"/>
    <x v="3"/>
    <x v="2"/>
    <n v="18"/>
    <n v="450"/>
    <n v="26"/>
    <n v="58.890685768589982"/>
    <x v="1"/>
    <n v="1.2108821295850664E-2"/>
    <x v="2"/>
    <s v="Route A"/>
    <n v="778.8642413766479"/>
    <n v="6607.4997026720157"/>
    <n v="0.89455376863684133"/>
    <x v="1"/>
    <x v="2"/>
    <x v="1"/>
    <x v="20"/>
    <n v="1.2842766175004098E-2"/>
    <x v="1"/>
  </r>
  <r>
    <x v="0"/>
    <x v="73"/>
    <n v="20.986386037043378"/>
    <n v="90"/>
    <n v="93"/>
    <n v="4767.020484344137"/>
    <x v="3"/>
    <n v="25"/>
    <n v="23"/>
    <n v="83"/>
    <n v="5"/>
    <x v="0"/>
    <n v="1.7744297140717396"/>
    <x v="4"/>
    <x v="2"/>
    <n v="24"/>
    <n v="826"/>
    <n v="28"/>
    <n v="12.836284572832753"/>
    <x v="2"/>
    <n v="1.1737554953874541E-2"/>
    <x v="2"/>
    <s v="Route B"/>
    <n v="832.21080870602168"/>
    <n v="3934.8096756381156"/>
    <n v="0.82542327824284145"/>
    <x v="0"/>
    <x v="2"/>
    <x v="1"/>
    <x v="26"/>
    <n v="1.9079889398620854E-2"/>
    <x v="1"/>
  </r>
  <r>
    <x v="2"/>
    <x v="74"/>
    <n v="7.5471721097912718"/>
    <n v="74"/>
    <n v="280"/>
    <n v="6453.7979681762854"/>
    <x v="0"/>
    <n v="2"/>
    <n v="5"/>
    <n v="78"/>
    <n v="1"/>
    <x v="2"/>
    <n v="4.1913245857055017"/>
    <x v="4"/>
    <x v="0"/>
    <n v="3"/>
    <n v="399"/>
    <n v="21"/>
    <n v="77.106342497850008"/>
    <x v="2"/>
    <n v="1.012563089258049E-2"/>
    <x v="2"/>
    <s v="Route A"/>
    <n v="865.52577977124031"/>
    <n v="5588.2721884050452"/>
    <n v="0.86588892555373553"/>
    <x v="2"/>
    <x v="2"/>
    <x v="1"/>
    <x v="34"/>
    <n v="1.4969016377519649E-2"/>
    <x v="0"/>
  </r>
  <r>
    <x v="2"/>
    <x v="75"/>
    <n v="4.0783328631079447"/>
    <n v="48"/>
    <n v="65"/>
    <n v="7823.4765595317367"/>
    <x v="1"/>
    <n v="11"/>
    <n v="15"/>
    <n v="58"/>
    <n v="8"/>
    <x v="0"/>
    <n v="3.8807633029520034"/>
    <x v="1"/>
    <x v="1"/>
    <n v="14"/>
    <n v="314"/>
    <n v="24"/>
    <n v="1.0850685695870688"/>
    <x v="1"/>
    <n v="1.0009106193041357E-2"/>
    <x v="3"/>
    <s v="Route A"/>
    <n v="134.36909686103172"/>
    <n v="7689.107462670705"/>
    <n v="0.98282488662954792"/>
    <x v="2"/>
    <x v="1"/>
    <x v="1"/>
    <x v="37"/>
    <n v="5.9704050814646206E-2"/>
    <x v="0"/>
  </r>
  <r>
    <x v="1"/>
    <x v="76"/>
    <n v="8.0228592105263932"/>
    <n v="10"/>
    <n v="327"/>
    <n v="2766.3423668660889"/>
    <x v="1"/>
    <n v="60"/>
    <n v="26"/>
    <n v="35"/>
    <n v="7"/>
    <x v="2"/>
    <n v="8.9545283153180151"/>
    <x v="3"/>
    <x v="1"/>
    <n v="27"/>
    <n v="806"/>
    <n v="30"/>
    <n v="51.634893400109334"/>
    <x v="1"/>
    <n v="9.6539470535239313E-3"/>
    <x v="0"/>
    <s v="Route C"/>
    <n v="880.08098824716103"/>
    <n v="1886.2613786189279"/>
    <n v="0.68186114676608889"/>
    <x v="1"/>
    <x v="0"/>
    <x v="1"/>
    <x v="38"/>
    <n v="2.7383878640116256E-2"/>
    <x v="1"/>
  </r>
  <r>
    <x v="2"/>
    <x v="77"/>
    <n v="2.3972747055971411"/>
    <n v="12"/>
    <n v="394"/>
    <n v="6117.3246150839923"/>
    <x v="0"/>
    <n v="48"/>
    <n v="15"/>
    <n v="24"/>
    <n v="4"/>
    <x v="2"/>
    <n v="9.898140508069222"/>
    <x v="4"/>
    <x v="2"/>
    <n v="13"/>
    <n v="171"/>
    <n v="7"/>
    <n v="59.429381810691567"/>
    <x v="0"/>
    <n v="8.1575707929567205E-3"/>
    <x v="2"/>
    <s v="Route A"/>
    <n v="123.43702751182708"/>
    <n v="5993.8875875721651"/>
    <n v="0.97982173004070139"/>
    <x v="1"/>
    <x v="2"/>
    <x v="1"/>
    <x v="39"/>
    <n v="2.5122184030632544E-2"/>
    <x v="0"/>
  </r>
  <r>
    <x v="0"/>
    <x v="78"/>
    <n v="68.911246211606326"/>
    <n v="82"/>
    <n v="663"/>
    <n v="2411.754632110491"/>
    <x v="2"/>
    <n v="65"/>
    <n v="24"/>
    <n v="7"/>
    <n v="8"/>
    <x v="2"/>
    <n v="4.9498395779969488"/>
    <x v="4"/>
    <x v="0"/>
    <n v="20"/>
    <n v="443"/>
    <n v="5"/>
    <n v="97.730593800533043"/>
    <x v="0"/>
    <n v="7.730061340672478E-3"/>
    <x v="0"/>
    <s v="Route A"/>
    <n v="682.97101822609329"/>
    <n v="1728.7836138843977"/>
    <n v="0.7168157120409735"/>
    <x v="1"/>
    <x v="0"/>
    <x v="1"/>
    <x v="6"/>
    <n v="7.4658213846107825E-3"/>
    <x v="0"/>
  </r>
  <r>
    <x v="2"/>
    <x v="79"/>
    <n v="75.27040697572501"/>
    <n v="58"/>
    <n v="737"/>
    <n v="9444.7420330629793"/>
    <x v="1"/>
    <n v="60"/>
    <n v="18"/>
    <n v="85"/>
    <n v="7"/>
    <x v="1"/>
    <n v="3.8012531329310777"/>
    <x v="2"/>
    <x v="2"/>
    <n v="21"/>
    <n v="953"/>
    <n v="11"/>
    <n v="68.184919057041171"/>
    <x v="1"/>
    <n v="7.22204401882931E-3"/>
    <x v="3"/>
    <s v="Route A"/>
    <n v="103.91624796070495"/>
    <n v="9340.8257851022736"/>
    <n v="0.98899744984067017"/>
    <x v="1"/>
    <x v="1"/>
    <x v="1"/>
    <x v="6"/>
    <n v="5.1577383079119098E-3"/>
    <x v="0"/>
  </r>
  <r>
    <x v="2"/>
    <x v="80"/>
    <n v="37.467592329842461"/>
    <n v="96"/>
    <n v="602"/>
    <n v="9061.7108955077238"/>
    <x v="2"/>
    <n v="1"/>
    <n v="26"/>
    <n v="21"/>
    <n v="7"/>
    <x v="1"/>
    <n v="1.0194875708221189"/>
    <x v="4"/>
    <x v="3"/>
    <n v="4"/>
    <n v="452"/>
    <n v="10"/>
    <n v="10.754272815029333"/>
    <x v="2"/>
    <n v="6.4660455937205485E-3"/>
    <x v="0"/>
    <s v="Route B"/>
    <n v="510.3580004335235"/>
    <n v="8551.3528950742002"/>
    <n v="0.94367973042634479"/>
    <x v="2"/>
    <x v="1"/>
    <x v="1"/>
    <x v="40"/>
    <n v="1.6935009482095E-3"/>
    <x v="0"/>
  </r>
  <r>
    <x v="2"/>
    <x v="81"/>
    <n v="62.111965463961788"/>
    <n v="90"/>
    <n v="916"/>
    <n v="1935.2067935076"/>
    <x v="1"/>
    <n v="98"/>
    <n v="22"/>
    <n v="85"/>
    <n v="7"/>
    <x v="2"/>
    <n v="7.4715140844011456"/>
    <x v="3"/>
    <x v="4"/>
    <n v="5"/>
    <n v="207"/>
    <n v="28"/>
    <n v="39.772882502339975"/>
    <x v="1"/>
    <n v="6.260018582093946E-3"/>
    <x v="1"/>
    <s v="Route B"/>
    <n v="996.77831495062378"/>
    <n v="938.42847855697619"/>
    <n v="0.48492413405394075"/>
    <x v="1"/>
    <x v="0"/>
    <x v="1"/>
    <x v="15"/>
    <n v="8.156674764630072E-3"/>
    <x v="1"/>
  </r>
  <r>
    <x v="1"/>
    <x v="82"/>
    <n v="52.075930682707799"/>
    <n v="75"/>
    <n v="705"/>
    <n v="9692.3180402184316"/>
    <x v="3"/>
    <n v="69"/>
    <n v="1"/>
    <n v="88"/>
    <n v="5"/>
    <x v="2"/>
    <n v="9.2359314372492278"/>
    <x v="0"/>
    <x v="2"/>
    <n v="10"/>
    <n v="841"/>
    <n v="12"/>
    <n v="5.9306936455283177"/>
    <x v="1"/>
    <n v="6.1332689916450741E-3"/>
    <x v="2"/>
    <s v="Route B"/>
    <n v="339.67286994860615"/>
    <n v="9352.645170269825"/>
    <n v="0.96495442384998831"/>
    <x v="1"/>
    <x v="1"/>
    <x v="1"/>
    <x v="25"/>
    <n v="1.3100611967729402E-2"/>
    <x v="0"/>
  </r>
  <r>
    <x v="1"/>
    <x v="83"/>
    <n v="84.957786816350435"/>
    <n v="11"/>
    <n v="449"/>
    <n v="6541.3293448024651"/>
    <x v="0"/>
    <n v="42"/>
    <n v="27"/>
    <n v="85"/>
    <n v="8"/>
    <x v="0"/>
    <n v="5.2881899903274094"/>
    <x v="4"/>
    <x v="4"/>
    <n v="3"/>
    <n v="367"/>
    <n v="2"/>
    <n v="58.004787044743765"/>
    <x v="2"/>
    <n v="5.4115409806058112E-3"/>
    <x v="3"/>
    <s v="Route C"/>
    <n v="553.42047123035582"/>
    <n v="5987.9088735721089"/>
    <n v="0.9153963296970995"/>
    <x v="0"/>
    <x v="2"/>
    <x v="1"/>
    <x v="6"/>
    <n v="1.1777705991820511E-2"/>
    <x v="0"/>
  </r>
  <r>
    <x v="1"/>
    <x v="84"/>
    <n v="63.828398347710966"/>
    <n v="30"/>
    <n v="484"/>
    <n v="1061.618523013288"/>
    <x v="3"/>
    <n v="100"/>
    <n v="16"/>
    <n v="26"/>
    <n v="7"/>
    <x v="2"/>
    <n v="7.2937225968677284"/>
    <x v="4"/>
    <x v="1"/>
    <n v="11"/>
    <n v="176"/>
    <n v="4"/>
    <n v="1.900762243519458"/>
    <x v="0"/>
    <n v="4.4719401546382317E-3"/>
    <x v="2"/>
    <s v="Route A"/>
    <n v="312.57427361009331"/>
    <n v="749.04424940319473"/>
    <n v="0.70556818025095736"/>
    <x v="1"/>
    <x v="0"/>
    <x v="1"/>
    <x v="33"/>
    <n v="1.5069674786916794E-2"/>
    <x v="0"/>
  </r>
  <r>
    <x v="2"/>
    <x v="85"/>
    <n v="42.958384382460068"/>
    <n v="59"/>
    <n v="426"/>
    <n v="8496.1038130898378"/>
    <x v="0"/>
    <n v="93"/>
    <n v="17"/>
    <n v="11"/>
    <n v="1"/>
    <x v="2"/>
    <n v="2.3483387844177805"/>
    <x v="3"/>
    <x v="0"/>
    <n v="22"/>
    <n v="564"/>
    <n v="1"/>
    <n v="99.466108603599125"/>
    <x v="0"/>
    <n v="3.9817718685065066E-3"/>
    <x v="0"/>
    <s v="Route C"/>
    <n v="802.05631181755859"/>
    <n v="7694.0475012722791"/>
    <n v="0.90559716200950358"/>
    <x v="1"/>
    <x v="1"/>
    <x v="1"/>
    <x v="10"/>
    <n v="5.5125323577882171E-3"/>
    <x v="0"/>
  </r>
  <r>
    <x v="1"/>
    <x v="86"/>
    <n v="3.1700114135661548"/>
    <n v="64"/>
    <n v="904"/>
    <n v="5709.9452959692871"/>
    <x v="0"/>
    <n v="41"/>
    <n v="6"/>
    <n v="1"/>
    <n v="5"/>
    <x v="1"/>
    <n v="5.2376546500374479"/>
    <x v="3"/>
    <x v="4"/>
    <n v="1"/>
    <n v="919"/>
    <n v="9"/>
    <n v="80.580852156447818"/>
    <x v="0"/>
    <n v="3.9661272410993539E-3"/>
    <x v="1"/>
    <s v="Route A"/>
    <n v="341.55265678322337"/>
    <n v="5368.3926391860641"/>
    <n v="0.9401828495582385"/>
    <x v="1"/>
    <x v="2"/>
    <x v="1"/>
    <x v="31"/>
    <n v="5.7938657633157609E-3"/>
    <x v="0"/>
  </r>
  <r>
    <x v="0"/>
    <x v="87"/>
    <n v="95.712135880936088"/>
    <n v="93"/>
    <n v="910"/>
    <n v="7089.4742499341864"/>
    <x v="1"/>
    <n v="4"/>
    <n v="15"/>
    <n v="51"/>
    <n v="9"/>
    <x v="2"/>
    <n v="8.9787507559499709"/>
    <x v="4"/>
    <x v="1"/>
    <n v="10"/>
    <n v="964"/>
    <n v="20"/>
    <n v="19.712992911293647"/>
    <x v="1"/>
    <n v="3.8057358671321371E-3"/>
    <x v="1"/>
    <s v="Route A"/>
    <n v="581.60235505058677"/>
    <n v="6507.8718948835995"/>
    <n v="0.91796255483176536"/>
    <x v="2"/>
    <x v="2"/>
    <x v="1"/>
    <x v="9"/>
    <n v="9.866759072472496E-3"/>
    <x v="0"/>
  </r>
  <r>
    <x v="2"/>
    <x v="88"/>
    <n v="11.743271776309239"/>
    <n v="6"/>
    <n v="598"/>
    <n v="5737.425599119023"/>
    <x v="2"/>
    <n v="36"/>
    <n v="29"/>
    <n v="85"/>
    <n v="9"/>
    <x v="2"/>
    <n v="3.6940212683884543"/>
    <x v="0"/>
    <x v="2"/>
    <n v="1"/>
    <n v="206"/>
    <n v="23"/>
    <n v="26.27736595733241"/>
    <x v="1"/>
    <n v="3.7230476798509769E-3"/>
    <x v="2"/>
    <s v="Route A"/>
    <n v="716.04411975934067"/>
    <n v="5021.3814793596821"/>
    <n v="0.87519766358812756"/>
    <x v="0"/>
    <x v="2"/>
    <x v="1"/>
    <x v="18"/>
    <n v="6.1772930909505929E-3"/>
    <x v="1"/>
  </r>
  <r>
    <x v="0"/>
    <x v="89"/>
    <n v="68.517832699276639"/>
    <n v="17"/>
    <n v="627"/>
    <n v="9185.1858291817043"/>
    <x v="2"/>
    <n v="55"/>
    <n v="8"/>
    <n v="59"/>
    <n v="6"/>
    <x v="2"/>
    <n v="1.3110237561206226"/>
    <x v="2"/>
    <x v="3"/>
    <n v="29"/>
    <n v="921"/>
    <n v="2"/>
    <n v="38.07289852062604"/>
    <x v="0"/>
    <n v="3.4602729070550343E-3"/>
    <x v="1"/>
    <s v="Route B"/>
    <n v="210.74300896424614"/>
    <n v="8974.4428202174586"/>
    <n v="0.97705620627786249"/>
    <x v="1"/>
    <x v="1"/>
    <x v="1"/>
    <x v="24"/>
    <n v="2.0909469794587283E-3"/>
    <x v="0"/>
  </r>
  <r>
    <x v="0"/>
    <x v="90"/>
    <n v="47.714233075820232"/>
    <n v="44"/>
    <n v="276"/>
    <n v="2100.1297546259366"/>
    <x v="1"/>
    <n v="90"/>
    <n v="25"/>
    <n v="10"/>
    <n v="8"/>
    <x v="2"/>
    <n v="4.4695000261236011"/>
    <x v="2"/>
    <x v="2"/>
    <n v="4"/>
    <n v="671"/>
    <n v="29"/>
    <n v="62.612690395614344"/>
    <x v="2"/>
    <n v="3.3343182522473924E-3"/>
    <x v="1"/>
    <s v="Route B"/>
    <n v="230.09278253676294"/>
    <n v="1870.0369720891736"/>
    <n v="0.89043877787553849"/>
    <x v="1"/>
    <x v="0"/>
    <x v="1"/>
    <x v="41"/>
    <n v="1.6193840674360874E-2"/>
    <x v="1"/>
  </r>
  <r>
    <x v="1"/>
    <x v="91"/>
    <n v="69.808005542115765"/>
    <n v="55"/>
    <n v="802"/>
    <n v="8661.9967923923832"/>
    <x v="3"/>
    <n v="58"/>
    <n v="7"/>
    <n v="96"/>
    <n v="4"/>
    <x v="2"/>
    <n v="2.9565721394308069"/>
    <x v="1"/>
    <x v="2"/>
    <n v="29"/>
    <n v="215"/>
    <n v="29"/>
    <n v="46.279879240508322"/>
    <x v="1"/>
    <n v="2.2641036084992518E-3"/>
    <x v="0"/>
    <s v="Route B"/>
    <n v="187.75207545920392"/>
    <n v="8474.244716933179"/>
    <n v="0.97832461960455785"/>
    <x v="1"/>
    <x v="1"/>
    <x v="1"/>
    <x v="40"/>
    <n v="3.6864989269710809E-3"/>
    <x v="0"/>
  </r>
  <r>
    <x v="1"/>
    <x v="92"/>
    <n v="57.057031221103223"/>
    <n v="56"/>
    <n v="198"/>
    <n v="7888.7232684270812"/>
    <x v="3"/>
    <n v="31"/>
    <n v="25"/>
    <n v="20"/>
    <n v="1"/>
    <x v="2"/>
    <n v="6.4963253642950445"/>
    <x v="1"/>
    <x v="0"/>
    <n v="5"/>
    <n v="228"/>
    <n v="12"/>
    <n v="57.87090292403628"/>
    <x v="1"/>
    <n v="1.6587162748060824E-3"/>
    <x v="2"/>
    <s v="Route C"/>
    <n v="351.50421933503867"/>
    <n v="7537.219049092042"/>
    <n v="0.9554421916735425"/>
    <x v="1"/>
    <x v="1"/>
    <x v="1"/>
    <x v="7"/>
    <n v="3.2809724062096181E-2"/>
    <x v="0"/>
  </r>
  <r>
    <x v="1"/>
    <x v="93"/>
    <n v="89.634095608135326"/>
    <n v="11"/>
    <n v="134"/>
    <n v="8458.7308783671779"/>
    <x v="0"/>
    <n v="73"/>
    <n v="27"/>
    <n v="75"/>
    <n v="6"/>
    <x v="0"/>
    <n v="4.5853534681946524"/>
    <x v="4"/>
    <x v="4"/>
    <n v="17"/>
    <n v="328"/>
    <n v="6"/>
    <n v="8.6930424258772874"/>
    <x v="0"/>
    <n v="1.5948631471751462E-3"/>
    <x v="2"/>
    <s v="Route C"/>
    <n v="771.22508468115745"/>
    <n v="7687.5057936860203"/>
    <n v="0.90882496490655229"/>
    <x v="1"/>
    <x v="1"/>
    <x v="1"/>
    <x v="23"/>
    <n v="3.4219055732795912E-2"/>
    <x v="0"/>
  </r>
  <r>
    <x v="0"/>
    <x v="94"/>
    <n v="87.755432354001073"/>
    <n v="16"/>
    <n v="513"/>
    <n v="9473.7980325083372"/>
    <x v="2"/>
    <n v="12"/>
    <n v="9"/>
    <n v="71"/>
    <n v="9"/>
    <x v="0"/>
    <n v="9.147811544710633"/>
    <x v="4"/>
    <x v="2"/>
    <n v="10"/>
    <n v="198"/>
    <n v="11"/>
    <n v="7.0578761469782307"/>
    <x v="2"/>
    <n v="1.3195544431181482E-3"/>
    <x v="3"/>
    <s v="Route C"/>
    <n v="169.2718013847869"/>
    <n v="9304.526231123551"/>
    <n v="0.98213263563314868"/>
    <x v="2"/>
    <x v="1"/>
    <x v="1"/>
    <x v="33"/>
    <n v="1.7831991315225407E-2"/>
    <x v="0"/>
  </r>
  <r>
    <x v="0"/>
    <x v="95"/>
    <n v="81.462534369237019"/>
    <n v="82"/>
    <n v="126"/>
    <n v="2629.3964348452619"/>
    <x v="0"/>
    <n v="45"/>
    <n v="17"/>
    <n v="85"/>
    <n v="9"/>
    <x v="0"/>
    <n v="3.5854189582323421"/>
    <x v="4"/>
    <x v="3"/>
    <n v="7"/>
    <n v="453"/>
    <n v="16"/>
    <n v="47.679680368355335"/>
    <x v="0"/>
    <n v="1.0202075491817599E-3"/>
    <x v="2"/>
    <s v="Route C"/>
    <n v="670.93439079241034"/>
    <n v="1958.4620440528515"/>
    <n v="0.74483330778841106"/>
    <x v="1"/>
    <x v="0"/>
    <x v="1"/>
    <x v="23"/>
    <n v="2.8455706017717002E-2"/>
    <x v="0"/>
  </r>
  <r>
    <x v="1"/>
    <x v="96"/>
    <n v="99.171328638624189"/>
    <n v="26"/>
    <n v="562"/>
    <n v="8653.5709264698016"/>
    <x v="3"/>
    <n v="54"/>
    <n v="29"/>
    <n v="78"/>
    <n v="5"/>
    <x v="2"/>
    <n v="2.0397701894493316"/>
    <x v="4"/>
    <x v="1"/>
    <n v="25"/>
    <n v="558"/>
    <n v="14"/>
    <n v="5.7914366298629893"/>
    <x v="1"/>
    <n v="1.0068285156509371E-3"/>
    <x v="2"/>
    <s v="Route B"/>
    <n v="929.23528996088965"/>
    <n v="7724.3356365089121"/>
    <n v="0.89261828465304227"/>
    <x v="1"/>
    <x v="1"/>
    <x v="1"/>
    <x v="30"/>
    <n v="3.6294843228635793E-3"/>
    <x v="1"/>
  </r>
  <r>
    <x v="1"/>
    <x v="97"/>
    <n v="99.113291615317166"/>
    <n v="35"/>
    <n v="556"/>
    <n v="5521.2052590109715"/>
    <x v="0"/>
    <n v="64"/>
    <n v="19"/>
    <n v="38"/>
    <n v="8"/>
    <x v="2"/>
    <n v="5.7732637437666536"/>
    <x v="3"/>
    <x v="3"/>
    <n v="18"/>
    <n v="892"/>
    <n v="7"/>
    <n v="95.332064548772493"/>
    <x v="0"/>
    <n v="4.5302262398259604E-4"/>
    <x v="3"/>
    <s v="Route A"/>
    <n v="275.52437113130981"/>
    <n v="5245.6808878796619"/>
    <n v="0.95009706065869659"/>
    <x v="1"/>
    <x v="2"/>
    <x v="1"/>
    <x v="34"/>
    <n v="1.0383567884472398E-2"/>
    <x v="0"/>
  </r>
  <r>
    <x v="0"/>
    <x v="98"/>
    <n v="90.635459982288666"/>
    <n v="95"/>
    <n v="960"/>
    <n v="6099.944115581452"/>
    <x v="0"/>
    <n v="46"/>
    <n v="23"/>
    <n v="60"/>
    <n v="1"/>
    <x v="1"/>
    <n v="4.5239431243166628"/>
    <x v="2"/>
    <x v="1"/>
    <n v="28"/>
    <n v="362"/>
    <n v="11"/>
    <n v="27.592363086663696"/>
    <x v="1"/>
    <n v="2.1169821372994392E-4"/>
    <x v="2"/>
    <s v="Route A"/>
    <n v="126.72303340940725"/>
    <n v="5973.2210821720446"/>
    <n v="0.97922554190525923"/>
    <x v="1"/>
    <x v="2"/>
    <x v="1"/>
    <x v="0"/>
    <n v="4.7124407544965234E-3"/>
    <x v="0"/>
  </r>
  <r>
    <x v="0"/>
    <x v="99"/>
    <n v="84.893868984950828"/>
    <n v="60"/>
    <n v="601"/>
    <n v="7087.0526963574366"/>
    <x v="2"/>
    <n v="69"/>
    <n v="25"/>
    <n v="7"/>
    <n v="6"/>
    <x v="2"/>
    <n v="6.0378837692182978"/>
    <x v="0"/>
    <x v="3"/>
    <n v="19"/>
    <n v="791"/>
    <n v="4"/>
    <n v="61.735728954160933"/>
    <x v="1"/>
    <n v="1.8607567631014898E-4"/>
    <x v="2"/>
    <s v="Route C"/>
    <n v="523.36091472015801"/>
    <n v="6563.6917816372788"/>
    <n v="0.92615252952907323"/>
    <x v="1"/>
    <x v="2"/>
    <x v="1"/>
    <x v="6"/>
    <n v="1.0046395622659398E-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567C0F-E6B8-46AA-B8B2-3ED8C41E018F}"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 type">
  <location ref="C46:E50" firstHeaderRow="0" firstDataRow="1" firstDataCol="1" rowPageCount="1" colPageCount="1"/>
  <pivotFields count="32">
    <pivotField axis="axisRow" showAll="0">
      <items count="4">
        <item sd="0" x="2"/>
        <item sd="0" x="0"/>
        <item sd="0" x="1"/>
        <item t="default" sd="0"/>
      </items>
    </pivotField>
    <pivotField axis="axisRow" showAll="0">
      <items count="101">
        <item x="91"/>
        <item x="2"/>
        <item x="62"/>
        <item x="98"/>
        <item x="49"/>
        <item x="64"/>
        <item x="96"/>
        <item x="46"/>
        <item x="74"/>
        <item x="95"/>
        <item x="47"/>
        <item x="23"/>
        <item x="7"/>
        <item x="10"/>
        <item x="99"/>
        <item x="42"/>
        <item x="70"/>
        <item x="21"/>
        <item x="19"/>
        <item x="51"/>
        <item x="35"/>
        <item x="77"/>
        <item x="15"/>
        <item x="5"/>
        <item x="76"/>
        <item x="32"/>
        <item x="56"/>
        <item x="25"/>
        <item x="80"/>
        <item x="83"/>
        <item x="18"/>
        <item x="41"/>
        <item x="82"/>
        <item x="66"/>
        <item x="30"/>
        <item x="11"/>
        <item x="97"/>
        <item x="0"/>
        <item x="88"/>
        <item x="33"/>
        <item x="28"/>
        <item x="22"/>
        <item x="87"/>
        <item x="63"/>
        <item x="38"/>
        <item x="39"/>
        <item x="4"/>
        <item x="60"/>
        <item x="50"/>
        <item x="67"/>
        <item x="45"/>
        <item x="8"/>
        <item x="73"/>
        <item x="44"/>
        <item x="61"/>
        <item x="84"/>
        <item x="75"/>
        <item x="36"/>
        <item x="9"/>
        <item x="58"/>
        <item x="24"/>
        <item x="93"/>
        <item x="1"/>
        <item x="26"/>
        <item x="94"/>
        <item x="55"/>
        <item x="69"/>
        <item x="85"/>
        <item x="59"/>
        <item x="52"/>
        <item x="29"/>
        <item x="6"/>
        <item x="86"/>
        <item x="54"/>
        <item x="48"/>
        <item x="31"/>
        <item x="14"/>
        <item x="92"/>
        <item x="40"/>
        <item x="37"/>
        <item x="43"/>
        <item x="13"/>
        <item x="78"/>
        <item x="3"/>
        <item x="68"/>
        <item x="53"/>
        <item x="20"/>
        <item x="79"/>
        <item x="57"/>
        <item x="17"/>
        <item x="71"/>
        <item x="81"/>
        <item x="90"/>
        <item x="12"/>
        <item x="65"/>
        <item x="72"/>
        <item x="16"/>
        <item x="27"/>
        <item x="34"/>
        <item x="89"/>
        <item t="default"/>
      </items>
    </pivotField>
    <pivotField numFmtId="164" showAll="0"/>
    <pivotField showAll="0"/>
    <pivotField numFmtId="1" showAll="0"/>
    <pivotField numFmtId="164" showAll="0"/>
    <pivotField showAll="0"/>
    <pivotField dataField="1" showAll="0"/>
    <pivotField showAll="0"/>
    <pivotField dataField="1" showAll="0"/>
    <pivotField showAll="0"/>
    <pivotField showAll="0">
      <items count="4">
        <item x="1"/>
        <item x="2"/>
        <item x="0"/>
        <item t="default"/>
      </items>
    </pivotField>
    <pivotField numFmtId="164" showAll="0"/>
    <pivotField showAll="0">
      <items count="6">
        <item x="4"/>
        <item x="2"/>
        <item x="1"/>
        <item x="3"/>
        <item x="0"/>
        <item t="default"/>
      </items>
    </pivotField>
    <pivotField showAll="0"/>
    <pivotField showAll="0"/>
    <pivotField showAll="0"/>
    <pivotField showAll="0"/>
    <pivotField numFmtId="164" showAll="0"/>
    <pivotField showAll="0"/>
    <pivotField numFmtId="9" showAll="0"/>
    <pivotField showAll="0"/>
    <pivotField showAll="0"/>
    <pivotField numFmtId="164" showAll="0"/>
    <pivotField numFmtId="164" showAll="0"/>
    <pivotField numFmtId="9" showAll="0"/>
    <pivotField axis="axisPage" multipleItemSelectionAllowed="1" showAll="0">
      <items count="4">
        <item x="1"/>
        <item x="2"/>
        <item x="0"/>
        <item t="default"/>
      </items>
    </pivotField>
    <pivotField showAll="0"/>
    <pivotField showAll="0"/>
    <pivotField showAll="0"/>
    <pivotField numFmtId="164" showAll="0"/>
    <pivotField showAll="0">
      <items count="3">
        <item x="0"/>
        <item x="1"/>
        <item t="default"/>
      </items>
    </pivotField>
  </pivotFields>
  <rowFields count="2">
    <field x="0"/>
    <field x="1"/>
  </rowFields>
  <rowItems count="4">
    <i>
      <x/>
    </i>
    <i>
      <x v="1"/>
    </i>
    <i>
      <x v="2"/>
    </i>
    <i t="grand">
      <x/>
    </i>
  </rowItems>
  <colFields count="1">
    <field x="-2"/>
  </colFields>
  <colItems count="2">
    <i>
      <x/>
    </i>
    <i i="1">
      <x v="1"/>
    </i>
  </colItems>
  <pageFields count="1">
    <pageField fld="26" hier="-1"/>
  </pageFields>
  <dataFields count="2">
    <dataField name="Total Stock levels" fld="7" baseField="0" baseItem="0"/>
    <dataField name="Order quantities (Avg)" fld="9" subtotal="average" baseField="0" baseItem="0" numFmtId="1"/>
  </dataFields>
  <formats count="2">
    <format dxfId="12">
      <pivotArea outline="0" collapsedLevelsAreSubtotals="1" fieldPosition="0">
        <references count="1">
          <reference field="4294967294" count="1" selected="0">
            <x v="1"/>
          </reference>
        </references>
      </pivotArea>
    </format>
    <format dxfId="11">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76AEB7-0A05-4EAC-AE50-306FEBE2CA17}"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inspection result">
  <location ref="C85:G90" firstHeaderRow="1" firstDataRow="2" firstDataCol="1"/>
  <pivotFields count="32">
    <pivotField axis="axisCol" showAll="0">
      <items count="4">
        <item sd="0" x="2"/>
        <item sd="0" x="0"/>
        <item sd="0" x="1"/>
        <item t="default" sd="0"/>
      </items>
    </pivotField>
    <pivotField dataField="1" showAll="0"/>
    <pivotField numFmtId="164" showAll="0"/>
    <pivotField showAll="0"/>
    <pivotField numFmtId="1" showAll="0"/>
    <pivotField numFmtId="164" showAll="0"/>
    <pivotField showAll="0"/>
    <pivotField showAll="0"/>
    <pivotField showAll="0"/>
    <pivotField showAll="0"/>
    <pivotField showAll="0"/>
    <pivotField showAll="0">
      <items count="4">
        <item x="1"/>
        <item x="2"/>
        <item x="0"/>
        <item t="default"/>
      </items>
    </pivotField>
    <pivotField numFmtId="164" showAll="0"/>
    <pivotField showAll="0">
      <items count="6">
        <item x="4"/>
        <item x="2"/>
        <item x="1"/>
        <item x="3"/>
        <item x="0"/>
        <item t="default"/>
      </items>
    </pivotField>
    <pivotField showAll="0"/>
    <pivotField showAll="0"/>
    <pivotField showAll="0"/>
    <pivotField showAll="0"/>
    <pivotField numFmtId="164" showAll="0"/>
    <pivotField axis="axisRow" showAll="0">
      <items count="4">
        <item x="0"/>
        <item x="2"/>
        <item x="1"/>
        <item t="default"/>
      </items>
    </pivotField>
    <pivotField numFmtId="9" showAll="0"/>
    <pivotField showAll="0"/>
    <pivotField showAll="0"/>
    <pivotField numFmtId="164" showAll="0"/>
    <pivotField numFmtId="164" showAll="0"/>
    <pivotField numFmtId="9" showAll="0"/>
    <pivotField showAll="0">
      <items count="4">
        <item x="1"/>
        <item x="2"/>
        <item x="0"/>
        <item t="default"/>
      </items>
    </pivotField>
    <pivotField showAll="0"/>
    <pivotField showAll="0"/>
    <pivotField showAll="0"/>
    <pivotField numFmtId="164" showAll="0"/>
    <pivotField showAll="0">
      <items count="3">
        <item x="0"/>
        <item x="1"/>
        <item t="default"/>
      </items>
    </pivotField>
  </pivotFields>
  <rowFields count="1">
    <field x="19"/>
  </rowFields>
  <rowItems count="4">
    <i>
      <x/>
    </i>
    <i>
      <x v="1"/>
    </i>
    <i>
      <x v="2"/>
    </i>
    <i t="grand">
      <x/>
    </i>
  </rowItems>
  <colFields count="1">
    <field x="0"/>
  </colFields>
  <colItems count="4">
    <i>
      <x/>
    </i>
    <i>
      <x v="1"/>
    </i>
    <i>
      <x v="2"/>
    </i>
    <i t="grand">
      <x/>
    </i>
  </colItems>
  <dataFields count="1">
    <dataField name="No of produc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BBCD68-BCCE-42A4-A664-27D33D94E565}"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venue Tier">
  <location ref="C123:E127" firstHeaderRow="0" firstDataRow="1" firstDataCol="1"/>
  <pivotFields count="32">
    <pivotField showAll="0">
      <items count="4">
        <item x="2"/>
        <item x="0"/>
        <item x="1"/>
        <item t="default"/>
      </items>
    </pivotField>
    <pivotField showAll="0"/>
    <pivotField numFmtId="164" showAll="0"/>
    <pivotField showAll="0"/>
    <pivotField numFmtId="1" showAll="0"/>
    <pivotField numFmtId="164" showAll="0"/>
    <pivotField showAll="0"/>
    <pivotField showAll="0"/>
    <pivotField showAll="0"/>
    <pivotField showAll="0"/>
    <pivotField showAll="0"/>
    <pivotField showAll="0">
      <items count="4">
        <item x="1"/>
        <item x="2"/>
        <item x="0"/>
        <item t="default"/>
      </items>
    </pivotField>
    <pivotField numFmtId="164" showAll="0"/>
    <pivotField showAll="0">
      <items count="6">
        <item x="4"/>
        <item x="2"/>
        <item x="1"/>
        <item x="3"/>
        <item x="0"/>
        <item t="default"/>
      </items>
    </pivotField>
    <pivotField showAll="0"/>
    <pivotField showAll="0"/>
    <pivotField showAll="0"/>
    <pivotField showAll="0"/>
    <pivotField numFmtId="164" showAll="0"/>
    <pivotField showAll="0"/>
    <pivotField numFmtId="9" showAll="0"/>
    <pivotField showAll="0"/>
    <pivotField showAll="0"/>
    <pivotField numFmtId="164" showAll="0"/>
    <pivotField numFmtId="164" showAll="0"/>
    <pivotField dataField="1" numFmtId="9" showAll="0"/>
    <pivotField showAll="0">
      <items count="4">
        <item x="1"/>
        <item x="2"/>
        <item x="0"/>
        <item t="default"/>
      </items>
    </pivotField>
    <pivotField axis="axisRow" showAll="0">
      <items count="4">
        <item x="1"/>
        <item x="0"/>
        <item x="2"/>
        <item t="default"/>
      </items>
    </pivotField>
    <pivotField showAll="0"/>
    <pivotField showAll="0"/>
    <pivotField dataField="1" numFmtId="164" showAll="0"/>
    <pivotField showAll="0">
      <items count="3">
        <item x="0"/>
        <item x="1"/>
        <item t="default"/>
      </items>
    </pivotField>
  </pivotFields>
  <rowFields count="1">
    <field x="27"/>
  </rowFields>
  <rowItems count="4">
    <i>
      <x/>
    </i>
    <i>
      <x v="1"/>
    </i>
    <i>
      <x v="2"/>
    </i>
    <i t="grand">
      <x/>
    </i>
  </rowItems>
  <colFields count="1">
    <field x="-2"/>
  </colFields>
  <colItems count="2">
    <i>
      <x/>
    </i>
    <i i="1">
      <x v="1"/>
    </i>
  </colItems>
  <dataFields count="2">
    <dataField name="Shipping Cost Per Unit (Avg)" fld="30" subtotal="average" baseField="27" baseItem="0" numFmtId="164"/>
    <dataField name=" Avg profit margin %" fld="25" subtotal="average" baseField="27" baseItem="0" numFmtId="10"/>
  </dataFields>
  <formats count="4">
    <format dxfId="16">
      <pivotArea outline="0" collapsedLevelsAreSubtotals="1" fieldPosition="0">
        <references count="1">
          <reference field="4294967294" count="1" selected="0">
            <x v="1"/>
          </reference>
        </references>
      </pivotArea>
    </format>
    <format dxfId="15">
      <pivotArea dataOnly="0" labelOnly="1" outline="0" fieldPosition="0">
        <references count="1">
          <reference field="4294967294" count="1">
            <x v="1"/>
          </reference>
        </references>
      </pivotArea>
    </format>
    <format dxfId="14">
      <pivotArea outline="0" collapsedLevelsAreSubtotals="1" fieldPosition="0">
        <references count="1">
          <reference field="4294967294" count="1" selected="0">
            <x v="0"/>
          </reference>
        </references>
      </pivotArea>
    </format>
    <format dxfId="1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AEA7E1-2841-459F-ACF9-0475B99B60E0}"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 Type">
  <location ref="C116:G120" firstHeaderRow="0" firstDataRow="1" firstDataCol="1"/>
  <pivotFields count="32">
    <pivotField axis="axisRow" showAll="0">
      <items count="4">
        <item x="2"/>
        <item x="0"/>
        <item x="1"/>
        <item t="default"/>
      </items>
    </pivotField>
    <pivotField dataField="1" showAll="0"/>
    <pivotField dataField="1" numFmtId="164" showAll="0"/>
    <pivotField showAll="0"/>
    <pivotField numFmtId="1" showAll="0"/>
    <pivotField numFmtId="164" showAll="0"/>
    <pivotField showAll="0"/>
    <pivotField showAll="0"/>
    <pivotField showAll="0"/>
    <pivotField showAll="0"/>
    <pivotField showAll="0"/>
    <pivotField showAll="0">
      <items count="4">
        <item x="1"/>
        <item x="2"/>
        <item x="0"/>
        <item t="default"/>
      </items>
    </pivotField>
    <pivotField numFmtId="164" showAll="0"/>
    <pivotField showAll="0">
      <items count="6">
        <item x="4"/>
        <item x="2"/>
        <item x="1"/>
        <item x="3"/>
        <item x="0"/>
        <item t="default"/>
      </items>
    </pivotField>
    <pivotField showAll="0"/>
    <pivotField showAll="0"/>
    <pivotField showAll="0"/>
    <pivotField showAll="0"/>
    <pivotField numFmtId="164" showAll="0"/>
    <pivotField showAll="0"/>
    <pivotField numFmtId="9" showAll="0"/>
    <pivotField showAll="0"/>
    <pivotField showAll="0"/>
    <pivotField numFmtId="164" showAll="0"/>
    <pivotField numFmtId="164" showAll="0"/>
    <pivotField numFmtId="9" showAll="0"/>
    <pivotField showAll="0">
      <items count="4">
        <item x="1"/>
        <item x="2"/>
        <item x="0"/>
        <item t="default"/>
      </items>
    </pivotField>
    <pivotField showAll="0"/>
    <pivotField showAll="0"/>
    <pivotField showAll="0"/>
    <pivotField numFmtId="164" showAll="0"/>
    <pivotField showAll="0">
      <items count="3">
        <item x="0"/>
        <item x="1"/>
        <item t="default"/>
      </items>
    </pivotField>
  </pivotFields>
  <rowFields count="1">
    <field x="0"/>
  </rowFields>
  <rowItems count="4">
    <i>
      <x/>
    </i>
    <i>
      <x v="1"/>
    </i>
    <i>
      <x v="2"/>
    </i>
    <i t="grand">
      <x/>
    </i>
  </rowItems>
  <colFields count="1">
    <field x="-2"/>
  </colFields>
  <colItems count="4">
    <i>
      <x/>
    </i>
    <i i="1">
      <x v="1"/>
    </i>
    <i i="2">
      <x v="2"/>
    </i>
    <i i="3">
      <x v="3"/>
    </i>
  </colItems>
  <dataFields count="4">
    <dataField name="Avg Price" fld="2" subtotal="average" baseField="0" baseItem="0" numFmtId="164"/>
    <dataField name="Highest Price" fld="2" subtotal="max" baseField="0" baseItem="0" numFmtId="164"/>
    <dataField name="Lowest Price" fld="2" subtotal="min" baseField="0" baseItem="0" numFmtId="164"/>
    <dataField name="Total Units" fld="1" subtotal="count" baseField="0" baseItem="0"/>
  </dataFields>
  <formats count="2">
    <format dxfId="18">
      <pivotArea outline="0" collapsedLevelsAreSubtotals="1" fieldPosition="0">
        <references count="1">
          <reference field="4294967294" count="3" selected="0">
            <x v="0"/>
            <x v="1"/>
            <x v="2"/>
          </reference>
        </references>
      </pivotArea>
    </format>
    <format dxfId="1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15C262-C7A5-4DEA-9056-E61A5E5AF3DE}"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 type">
  <location ref="C36:G41" firstHeaderRow="1" firstDataRow="2" firstDataCol="1"/>
  <pivotFields count="32">
    <pivotField axis="axisRow" showAll="0">
      <items count="4">
        <item x="2"/>
        <item x="0"/>
        <item x="1"/>
        <item t="default"/>
      </items>
    </pivotField>
    <pivotField dataField="1" showAll="0"/>
    <pivotField numFmtId="164" showAll="0"/>
    <pivotField showAll="0"/>
    <pivotField numFmtId="1" showAll="0"/>
    <pivotField numFmtId="164" showAll="0"/>
    <pivotField showAll="0"/>
    <pivotField showAll="0"/>
    <pivotField showAll="0"/>
    <pivotField showAll="0"/>
    <pivotField showAll="0"/>
    <pivotField showAll="0">
      <items count="4">
        <item x="1"/>
        <item x="2"/>
        <item x="0"/>
        <item t="default"/>
      </items>
    </pivotField>
    <pivotField numFmtId="164" showAll="0"/>
    <pivotField showAll="0">
      <items count="6">
        <item x="4"/>
        <item x="2"/>
        <item x="1"/>
        <item x="3"/>
        <item x="0"/>
        <item t="default"/>
      </items>
    </pivotField>
    <pivotField showAll="0"/>
    <pivotField showAll="0"/>
    <pivotField showAll="0"/>
    <pivotField showAll="0"/>
    <pivotField numFmtId="164" showAll="0"/>
    <pivotField showAll="0"/>
    <pivotField numFmtId="9" showAll="0"/>
    <pivotField showAll="0"/>
    <pivotField showAll="0"/>
    <pivotField numFmtId="164" showAll="0"/>
    <pivotField numFmtId="164" showAll="0"/>
    <pivotField numFmtId="9" showAll="0"/>
    <pivotField axis="axisCol" showAll="0">
      <items count="4">
        <item x="1"/>
        <item x="2"/>
        <item x="0"/>
        <item t="default"/>
      </items>
    </pivotField>
    <pivotField showAll="0"/>
    <pivotField showAll="0"/>
    <pivotField showAll="0"/>
    <pivotField numFmtId="164" showAll="0"/>
    <pivotField showAll="0">
      <items count="3">
        <item x="0"/>
        <item x="1"/>
        <item t="default"/>
      </items>
    </pivotField>
  </pivotFields>
  <rowFields count="1">
    <field x="0"/>
  </rowFields>
  <rowItems count="4">
    <i>
      <x/>
    </i>
    <i>
      <x v="1"/>
    </i>
    <i>
      <x v="2"/>
    </i>
    <i t="grand">
      <x/>
    </i>
  </rowItems>
  <colFields count="1">
    <field x="26"/>
  </colFields>
  <colItems count="4">
    <i>
      <x/>
    </i>
    <i>
      <x v="1"/>
    </i>
    <i>
      <x v="2"/>
    </i>
    <i t="grand">
      <x/>
    </i>
  </colItems>
  <dataFields count="1">
    <dataField name="no of produc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F81C93-9483-4C98-95FA-089563C1A760}"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 type">
  <location ref="C79:D83" firstHeaderRow="1" firstDataRow="1" firstDataCol="1"/>
  <pivotFields count="32">
    <pivotField axis="axisRow" showAll="0">
      <items count="4">
        <item x="2"/>
        <item x="0"/>
        <item x="1"/>
        <item t="default"/>
      </items>
    </pivotField>
    <pivotField showAll="0"/>
    <pivotField numFmtId="164" showAll="0"/>
    <pivotField showAll="0"/>
    <pivotField numFmtId="1" showAll="0"/>
    <pivotField numFmtId="164" showAll="0"/>
    <pivotField showAll="0"/>
    <pivotField showAll="0"/>
    <pivotField showAll="0"/>
    <pivotField showAll="0"/>
    <pivotField showAll="0"/>
    <pivotField showAll="0">
      <items count="4">
        <item x="1"/>
        <item x="2"/>
        <item x="0"/>
        <item t="default"/>
      </items>
    </pivotField>
    <pivotField numFmtId="164" showAll="0"/>
    <pivotField showAll="0">
      <items count="6">
        <item x="4"/>
        <item x="2"/>
        <item x="1"/>
        <item x="3"/>
        <item x="0"/>
        <item t="default"/>
      </items>
    </pivotField>
    <pivotField showAll="0"/>
    <pivotField showAll="0"/>
    <pivotField showAll="0"/>
    <pivotField showAll="0"/>
    <pivotField numFmtId="164" showAll="0"/>
    <pivotField showAll="0"/>
    <pivotField dataField="1" numFmtId="9" showAll="0"/>
    <pivotField showAll="0"/>
    <pivotField showAll="0"/>
    <pivotField numFmtId="164" showAll="0"/>
    <pivotField numFmtId="164" showAll="0"/>
    <pivotField numFmtId="9" showAll="0"/>
    <pivotField showAll="0">
      <items count="4">
        <item x="1"/>
        <item x="2"/>
        <item x="0"/>
        <item t="default"/>
      </items>
    </pivotField>
    <pivotField showAll="0"/>
    <pivotField showAll="0"/>
    <pivotField showAll="0"/>
    <pivotField numFmtId="164" showAll="0"/>
    <pivotField showAll="0">
      <items count="3">
        <item x="0"/>
        <item x="1"/>
        <item t="default"/>
      </items>
    </pivotField>
  </pivotFields>
  <rowFields count="1">
    <field x="0"/>
  </rowFields>
  <rowItems count="4">
    <i>
      <x/>
    </i>
    <i>
      <x v="1"/>
    </i>
    <i>
      <x v="2"/>
    </i>
    <i t="grand">
      <x/>
    </i>
  </rowItems>
  <colItems count="1">
    <i/>
  </colItems>
  <dataFields count="1">
    <dataField name="Defect rates (Avg)" fld="20" subtotal="average" baseField="0" baseItem="0" numFmtId="9"/>
  </dataFields>
  <formats count="2">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33AA75-C060-40C5-A119-E79DD6DEF7BE}"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venue Tier">
  <location ref="C109:G113" firstHeaderRow="0" firstDataRow="1" firstDataCol="1"/>
  <pivotFields count="32">
    <pivotField showAll="0">
      <items count="4">
        <item x="2"/>
        <item x="0"/>
        <item x="1"/>
        <item t="default"/>
      </items>
    </pivotField>
    <pivotField showAll="0"/>
    <pivotField dataField="1" numFmtId="164" showAll="0"/>
    <pivotField showAll="0"/>
    <pivotField dataField="1" numFmtId="1" showAll="0"/>
    <pivotField dataField="1" numFmtId="164" showAll="0"/>
    <pivotField showAll="0"/>
    <pivotField showAll="0"/>
    <pivotField showAll="0"/>
    <pivotField showAll="0"/>
    <pivotField showAll="0"/>
    <pivotField showAll="0">
      <items count="4">
        <item x="1"/>
        <item x="2"/>
        <item x="0"/>
        <item t="default"/>
      </items>
    </pivotField>
    <pivotField numFmtId="164" showAll="0"/>
    <pivotField showAll="0">
      <items count="6">
        <item x="4"/>
        <item x="2"/>
        <item x="1"/>
        <item x="3"/>
        <item x="0"/>
        <item t="default"/>
      </items>
    </pivotField>
    <pivotField showAll="0"/>
    <pivotField showAll="0"/>
    <pivotField showAll="0"/>
    <pivotField showAll="0"/>
    <pivotField numFmtId="164" showAll="0"/>
    <pivotField showAll="0"/>
    <pivotField numFmtId="9" showAll="0"/>
    <pivotField showAll="0"/>
    <pivotField showAll="0"/>
    <pivotField numFmtId="164" showAll="0"/>
    <pivotField numFmtId="164" showAll="0"/>
    <pivotField dataField="1" numFmtId="9" showAll="0"/>
    <pivotField showAll="0">
      <items count="4">
        <item x="1"/>
        <item x="2"/>
        <item x="0"/>
        <item t="default"/>
      </items>
    </pivotField>
    <pivotField axis="axisRow" showAll="0">
      <items count="4">
        <item x="1"/>
        <item x="0"/>
        <item x="2"/>
        <item t="default"/>
      </items>
    </pivotField>
    <pivotField showAll="0"/>
    <pivotField showAll="0"/>
    <pivotField numFmtId="164" showAll="0"/>
    <pivotField showAll="0">
      <items count="3">
        <item x="0"/>
        <item x="1"/>
        <item t="default"/>
      </items>
    </pivotField>
  </pivotFields>
  <rowFields count="1">
    <field x="27"/>
  </rowFields>
  <rowItems count="4">
    <i>
      <x/>
    </i>
    <i>
      <x v="1"/>
    </i>
    <i>
      <x v="2"/>
    </i>
    <i t="grand">
      <x/>
    </i>
  </rowItems>
  <colFields count="1">
    <field x="-2"/>
  </colFields>
  <colItems count="4">
    <i>
      <x/>
    </i>
    <i i="1">
      <x v="1"/>
    </i>
    <i i="2">
      <x v="2"/>
    </i>
    <i i="3">
      <x v="3"/>
    </i>
  </colItems>
  <dataFields count="4">
    <dataField name="Total Revenue" fld="5" baseField="27" baseItem="0" numFmtId="164"/>
    <dataField name="Total Units Sold" fld="4" baseField="27" baseItem="0" numFmtId="1"/>
    <dataField name="Average of profit margin %" fld="25" subtotal="average" baseField="27" baseItem="0" numFmtId="9"/>
    <dataField name=" Price" fld="2" subtotal="average" baseField="27" baseItem="0"/>
  </dataFields>
  <formats count="6">
    <format dxfId="26">
      <pivotArea outline="0" collapsedLevelsAreSubtotals="1" fieldPosition="0"/>
    </format>
    <format dxfId="25">
      <pivotArea dataOnly="0" labelOnly="1" outline="0" axis="axisValues" fieldPosition="0"/>
    </format>
    <format dxfId="24">
      <pivotArea outline="0" collapsedLevelsAreSubtotals="1" fieldPosition="0">
        <references count="1">
          <reference field="4294967294" count="1" selected="0">
            <x v="1"/>
          </reference>
        </references>
      </pivotArea>
    </format>
    <format dxfId="23">
      <pivotArea dataOnly="0" labelOnly="1" outline="0" fieldPosition="0">
        <references count="1">
          <reference field="4294967294" count="1">
            <x v="1"/>
          </reference>
        </references>
      </pivotArea>
    </format>
    <format dxfId="22">
      <pivotArea outline="0" collapsedLevelsAreSubtotals="1" fieldPosition="0">
        <references count="1">
          <reference field="4294967294" count="1" selected="0">
            <x v="2"/>
          </reference>
        </references>
      </pivotArea>
    </format>
    <format dxfId="21">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9C34BA-843D-40E8-80BF-06152B32BB67}"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upplier name ">
  <location ref="C23:F30" firstHeaderRow="1" firstDataRow="2" firstDataCol="1"/>
  <pivotFields count="32">
    <pivotField dataField="1" showAll="0">
      <items count="4">
        <item x="2"/>
        <item x="0"/>
        <item x="1"/>
        <item t="default"/>
      </items>
    </pivotField>
    <pivotField showAll="0"/>
    <pivotField numFmtId="164" showAll="0"/>
    <pivotField showAll="0"/>
    <pivotField numFmtId="1" showAll="0"/>
    <pivotField numFmtId="164" showAll="0"/>
    <pivotField showAll="0"/>
    <pivotField showAll="0"/>
    <pivotField showAll="0"/>
    <pivotField showAll="0"/>
    <pivotField showAll="0"/>
    <pivotField showAll="0">
      <items count="4">
        <item x="1"/>
        <item x="2"/>
        <item x="0"/>
        <item t="default"/>
      </items>
    </pivotField>
    <pivotField numFmtId="164" showAll="0"/>
    <pivotField axis="axisRow" showAll="0">
      <items count="6">
        <item x="4"/>
        <item x="2"/>
        <item x="1"/>
        <item x="3"/>
        <item x="0"/>
        <item t="default"/>
      </items>
    </pivotField>
    <pivotField showAll="0"/>
    <pivotField showAll="0"/>
    <pivotField showAll="0"/>
    <pivotField showAll="0"/>
    <pivotField numFmtId="164" showAll="0"/>
    <pivotField showAll="0"/>
    <pivotField numFmtId="9" showAll="0"/>
    <pivotField showAll="0"/>
    <pivotField showAll="0"/>
    <pivotField numFmtId="164" showAll="0"/>
    <pivotField numFmtId="164" showAll="0"/>
    <pivotField numFmtId="9" showAll="0"/>
    <pivotField showAll="0">
      <items count="4">
        <item x="1"/>
        <item x="2"/>
        <item x="0"/>
        <item t="default"/>
      </items>
    </pivotField>
    <pivotField showAll="0"/>
    <pivotField showAll="0"/>
    <pivotField showAll="0"/>
    <pivotField numFmtId="164" showAll="0"/>
    <pivotField axis="axisCol" showAll="0">
      <items count="3">
        <item x="0"/>
        <item x="1"/>
        <item t="default"/>
      </items>
    </pivotField>
  </pivotFields>
  <rowFields count="1">
    <field x="13"/>
  </rowFields>
  <rowItems count="6">
    <i>
      <x/>
    </i>
    <i>
      <x v="1"/>
    </i>
    <i>
      <x v="2"/>
    </i>
    <i>
      <x v="3"/>
    </i>
    <i>
      <x v="4"/>
    </i>
    <i t="grand">
      <x/>
    </i>
  </rowItems>
  <colFields count="1">
    <field x="31"/>
  </colFields>
  <colItems count="3">
    <i>
      <x/>
    </i>
    <i>
      <x v="1"/>
    </i>
    <i t="grand">
      <x/>
    </i>
  </colItems>
  <dataFields count="1">
    <dataField name="Product count"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EC935A-F615-4E2A-B01D-0922A1587D32}"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rrier">
  <location ref="C70:G75" firstHeaderRow="1" firstDataRow="2" firstDataCol="1"/>
  <pivotFields count="32">
    <pivotField axis="axisCol" showAll="0">
      <items count="4">
        <item x="2"/>
        <item x="0"/>
        <item x="1"/>
        <item t="default"/>
      </items>
    </pivotField>
    <pivotField showAll="0"/>
    <pivotField numFmtId="164" showAll="0"/>
    <pivotField showAll="0"/>
    <pivotField numFmtId="1" showAll="0"/>
    <pivotField numFmtId="164" showAll="0"/>
    <pivotField showAll="0"/>
    <pivotField showAll="0"/>
    <pivotField showAll="0"/>
    <pivotField showAll="0"/>
    <pivotField showAll="0"/>
    <pivotField axis="axisRow" showAll="0">
      <items count="4">
        <item x="1"/>
        <item x="2"/>
        <item x="0"/>
        <item t="default"/>
      </items>
    </pivotField>
    <pivotField dataField="1" numFmtId="164" showAll="0"/>
    <pivotField showAll="0">
      <items count="6">
        <item x="4"/>
        <item x="2"/>
        <item x="1"/>
        <item x="3"/>
        <item x="0"/>
        <item t="default"/>
      </items>
    </pivotField>
    <pivotField showAll="0"/>
    <pivotField showAll="0"/>
    <pivotField showAll="0"/>
    <pivotField showAll="0"/>
    <pivotField numFmtId="164" showAll="0"/>
    <pivotField showAll="0"/>
    <pivotField numFmtId="9" showAll="0"/>
    <pivotField showAll="0"/>
    <pivotField showAll="0"/>
    <pivotField numFmtId="164" showAll="0"/>
    <pivotField numFmtId="164" showAll="0"/>
    <pivotField numFmtId="9" showAll="0"/>
    <pivotField showAll="0">
      <items count="4">
        <item x="1"/>
        <item x="2"/>
        <item x="0"/>
        <item t="default"/>
      </items>
    </pivotField>
    <pivotField showAll="0"/>
    <pivotField showAll="0"/>
    <pivotField showAll="0"/>
    <pivotField numFmtId="164" showAll="0"/>
    <pivotField showAll="0">
      <items count="3">
        <item x="0"/>
        <item x="1"/>
        <item t="default"/>
      </items>
    </pivotField>
  </pivotFields>
  <rowFields count="1">
    <field x="11"/>
  </rowFields>
  <rowItems count="4">
    <i>
      <x/>
    </i>
    <i>
      <x v="1"/>
    </i>
    <i>
      <x v="2"/>
    </i>
    <i t="grand">
      <x/>
    </i>
  </rowItems>
  <colFields count="1">
    <field x="0"/>
  </colFields>
  <colItems count="4">
    <i>
      <x/>
    </i>
    <i>
      <x v="1"/>
    </i>
    <i>
      <x v="2"/>
    </i>
    <i t="grand">
      <x/>
    </i>
  </colItems>
  <dataFields count="1">
    <dataField name=" Shipping costs (Avg)" fld="12" subtotal="average" baseField="11" baseItem="0" numFmtId="164"/>
  </dataFields>
  <formats count="2">
    <format dxfId="28">
      <pivotArea outline="0" collapsedLevelsAreSubtotals="1" fieldPosition="0">
        <references count="1">
          <reference field="4294967294" count="1" selected="0">
            <x v="0"/>
          </reference>
        </references>
      </pivotArea>
    </format>
    <format dxfId="27">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FF42F5-F622-489D-B2EC-735BE8357598}"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upplier name" fieldListSortAscending="1">
  <location ref="C13:G19" firstHeaderRow="0" firstDataRow="1" firstDataCol="1"/>
  <pivotFields count="32">
    <pivotField showAll="0">
      <items count="4">
        <item x="2"/>
        <item x="0"/>
        <item x="1"/>
        <item t="default"/>
      </items>
    </pivotField>
    <pivotField showAll="0"/>
    <pivotField numFmtId="164" showAll="0"/>
    <pivotField showAll="0"/>
    <pivotField numFmtId="1" showAll="0"/>
    <pivotField dataField="1" numFmtId="164" showAll="0"/>
    <pivotField showAll="0"/>
    <pivotField showAll="0"/>
    <pivotField showAll="0"/>
    <pivotField showAll="0"/>
    <pivotField showAll="0"/>
    <pivotField showAll="0">
      <items count="4">
        <item x="1"/>
        <item x="2"/>
        <item x="0"/>
        <item t="default"/>
      </items>
    </pivotField>
    <pivotField numFmtId="164" showAll="0"/>
    <pivotField axis="axisRow" showAll="0" sortType="descending">
      <items count="6">
        <item x="4"/>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pivotField showAll="0"/>
    <pivotField dataField="1" numFmtId="9" showAll="0"/>
    <pivotField showAll="0"/>
    <pivotField showAll="0"/>
    <pivotField numFmtId="164" showAll="0"/>
    <pivotField numFmtId="164" showAll="0"/>
    <pivotField numFmtId="9" showAll="0"/>
    <pivotField showAll="0">
      <items count="4">
        <item x="1"/>
        <item x="2"/>
        <item x="0"/>
        <item t="default"/>
      </items>
    </pivotField>
    <pivotField showAll="0"/>
    <pivotField showAll="0"/>
    <pivotField dataField="1" showAll="0"/>
    <pivotField numFmtId="164" showAll="0"/>
    <pivotField showAll="0">
      <items count="3">
        <item x="0"/>
        <item x="1"/>
        <item t="default"/>
      </items>
    </pivotField>
  </pivotFields>
  <rowFields count="1">
    <field x="13"/>
  </rowFields>
  <rowItems count="6">
    <i>
      <x v="3"/>
    </i>
    <i>
      <x v="1"/>
    </i>
    <i>
      <x v="4"/>
    </i>
    <i>
      <x/>
    </i>
    <i>
      <x v="2"/>
    </i>
    <i t="grand">
      <x/>
    </i>
  </rowItems>
  <colFields count="1">
    <field x="-2"/>
  </colFields>
  <colItems count="4">
    <i>
      <x/>
    </i>
    <i i="1">
      <x v="1"/>
    </i>
    <i i="2">
      <x v="2"/>
    </i>
    <i i="3">
      <x v="3"/>
    </i>
  </colItems>
  <dataFields count="4">
    <dataField name="Lead days (Avg)" fld="29" subtotal="average" baseField="13" baseItem="0" numFmtId="1"/>
    <dataField name="Manufacturing costs (Avg)" fld="18" subtotal="average" baseField="13" baseItem="0" numFmtId="164"/>
    <dataField name="Defect rates %" fld="20" subtotal="average" baseField="13" baseItem="0" numFmtId="9"/>
    <dataField name="Total Revenue" fld="5" baseField="13" baseItem="0" numFmtId="164"/>
  </dataFields>
  <formats count="7">
    <format dxfId="35">
      <pivotArea outline="0" collapsedLevelsAreSubtotals="1" fieldPosition="0"/>
    </format>
    <format dxfId="34">
      <pivotArea dataOnly="0" labelOnly="1" outline="0" axis="axisValues" fieldPosition="0"/>
    </format>
    <format dxfId="33">
      <pivotArea outline="0" collapsedLevelsAreSubtotals="1" fieldPosition="0">
        <references count="1">
          <reference field="4294967294" count="1" selected="0">
            <x v="1"/>
          </reference>
        </references>
      </pivotArea>
    </format>
    <format dxfId="32">
      <pivotArea dataOnly="0" labelOnly="1" outline="0" fieldPosition="0">
        <references count="1">
          <reference field="4294967294" count="1">
            <x v="1"/>
          </reference>
        </references>
      </pivotArea>
    </format>
    <format dxfId="31">
      <pivotArea outline="0" collapsedLevelsAreSubtotals="1" fieldPosition="0">
        <references count="1">
          <reference field="4294967294" count="1" selected="0">
            <x v="2"/>
          </reference>
        </references>
      </pivotArea>
    </format>
    <format dxfId="30">
      <pivotArea dataOnly="0" labelOnly="1" outline="0" fieldPosition="0">
        <references count="1">
          <reference field="4294967294" count="1">
            <x v="2"/>
          </reference>
        </references>
      </pivotArea>
    </format>
    <format dxfId="29">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E8922C-8A12-45A5-9EAA-4483A30502FA}"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transport mode">
  <location ref="C62:F67" firstHeaderRow="0" firstDataRow="1" firstDataCol="1"/>
  <pivotFields count="32">
    <pivotField showAll="0">
      <items count="4">
        <item x="2"/>
        <item x="0"/>
        <item x="1"/>
        <item t="default"/>
      </items>
    </pivotField>
    <pivotField dataField="1" showAll="0"/>
    <pivotField numFmtId="164" showAll="0"/>
    <pivotField showAll="0"/>
    <pivotField numFmtId="1" showAll="0"/>
    <pivotField numFmtId="164" showAll="0"/>
    <pivotField showAll="0"/>
    <pivotField showAll="0"/>
    <pivotField showAll="0"/>
    <pivotField showAll="0"/>
    <pivotField dataField="1" showAll="0"/>
    <pivotField showAll="0">
      <items count="4">
        <item x="1"/>
        <item x="2"/>
        <item x="0"/>
        <item t="default"/>
      </items>
    </pivotField>
    <pivotField dataField="1" numFmtId="164" showAll="0"/>
    <pivotField showAll="0">
      <items count="6">
        <item x="4"/>
        <item x="2"/>
        <item x="1"/>
        <item x="3"/>
        <item x="0"/>
        <item t="default"/>
      </items>
    </pivotField>
    <pivotField showAll="0"/>
    <pivotField showAll="0"/>
    <pivotField showAll="0"/>
    <pivotField showAll="0"/>
    <pivotField numFmtId="164" showAll="0"/>
    <pivotField showAll="0"/>
    <pivotField numFmtId="9" showAll="0"/>
    <pivotField axis="axisRow" showAll="0">
      <items count="5">
        <item x="2"/>
        <item x="1"/>
        <item x="0"/>
        <item x="3"/>
        <item t="default"/>
      </items>
    </pivotField>
    <pivotField showAll="0"/>
    <pivotField numFmtId="164" showAll="0"/>
    <pivotField numFmtId="164" showAll="0"/>
    <pivotField numFmtId="9" showAll="0"/>
    <pivotField showAll="0">
      <items count="4">
        <item x="1"/>
        <item x="2"/>
        <item x="0"/>
        <item t="default"/>
      </items>
    </pivotField>
    <pivotField showAll="0"/>
    <pivotField showAll="0"/>
    <pivotField showAll="0"/>
    <pivotField numFmtId="164" showAll="0"/>
    <pivotField showAll="0">
      <items count="3">
        <item x="0"/>
        <item x="1"/>
        <item t="default"/>
      </items>
    </pivotField>
  </pivotFields>
  <rowFields count="1">
    <field x="21"/>
  </rowFields>
  <rowItems count="5">
    <i>
      <x/>
    </i>
    <i>
      <x v="1"/>
    </i>
    <i>
      <x v="2"/>
    </i>
    <i>
      <x v="3"/>
    </i>
    <i t="grand">
      <x/>
    </i>
  </rowItems>
  <colFields count="1">
    <field x="-2"/>
  </colFields>
  <colItems count="3">
    <i>
      <x/>
    </i>
    <i i="1">
      <x v="1"/>
    </i>
    <i i="2">
      <x v="2"/>
    </i>
  </colItems>
  <dataFields count="3">
    <dataField name="Shipping costs (Avg)" fld="12" subtotal="average" baseField="21" baseItem="0" numFmtId="164"/>
    <dataField name="Shipping times (Avg)" fld="10" subtotal="average" baseField="21" baseItem="0" numFmtId="164"/>
    <dataField name="No of Products" fld="1" subtotal="count" baseField="21" baseItem="0"/>
  </dataFields>
  <formats count="2">
    <format dxfId="37">
      <pivotArea outline="0" collapsedLevelsAreSubtotals="1" fieldPosition="0">
        <references count="1">
          <reference field="4294967294" count="2" selected="0">
            <x v="0"/>
            <x v="1"/>
          </reference>
        </references>
      </pivotArea>
    </format>
    <format dxfId="3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5002290-BF2D-4EE0-96C1-F09C6A48C3A8}"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upplier name">
  <location ref="C98:F105" firstHeaderRow="1" firstDataRow="2" firstDataCol="1"/>
  <pivotFields count="32">
    <pivotField showAll="0">
      <items count="4">
        <item x="2"/>
        <item x="0"/>
        <item x="1"/>
        <item t="default"/>
      </items>
    </pivotField>
    <pivotField dataField="1" showAll="0"/>
    <pivotField numFmtId="164" showAll="0"/>
    <pivotField showAll="0"/>
    <pivotField numFmtId="1" showAll="0"/>
    <pivotField numFmtId="164" showAll="0"/>
    <pivotField showAll="0"/>
    <pivotField showAll="0"/>
    <pivotField showAll="0"/>
    <pivotField showAll="0"/>
    <pivotField showAll="0"/>
    <pivotField showAll="0">
      <items count="4">
        <item x="1"/>
        <item x="2"/>
        <item x="0"/>
        <item t="default"/>
      </items>
    </pivotField>
    <pivotField numFmtId="164" showAll="0"/>
    <pivotField axis="axisRow" showAll="0">
      <items count="6">
        <item x="4"/>
        <item x="2"/>
        <item x="1"/>
        <item x="3"/>
        <item x="0"/>
        <item t="default"/>
      </items>
    </pivotField>
    <pivotField showAll="0"/>
    <pivotField showAll="0"/>
    <pivotField showAll="0"/>
    <pivotField showAll="0"/>
    <pivotField numFmtId="164" showAll="0"/>
    <pivotField showAll="0"/>
    <pivotField numFmtId="9" showAll="0"/>
    <pivotField showAll="0"/>
    <pivotField showAll="0"/>
    <pivotField numFmtId="164" showAll="0"/>
    <pivotField numFmtId="164" showAll="0"/>
    <pivotField numFmtId="9" showAll="0"/>
    <pivotField showAll="0">
      <items count="4">
        <item x="1"/>
        <item x="2"/>
        <item x="0"/>
        <item t="default"/>
      </items>
    </pivotField>
    <pivotField showAll="0"/>
    <pivotField axis="axisCol" showAll="0">
      <items count="3">
        <item x="0"/>
        <item x="1"/>
        <item t="default"/>
      </items>
    </pivotField>
    <pivotField showAll="0"/>
    <pivotField numFmtId="164" showAll="0"/>
    <pivotField showAll="0">
      <items count="3">
        <item x="0"/>
        <item x="1"/>
        <item t="default"/>
      </items>
    </pivotField>
  </pivotFields>
  <rowFields count="1">
    <field x="13"/>
  </rowFields>
  <rowItems count="6">
    <i>
      <x/>
    </i>
    <i>
      <x v="1"/>
    </i>
    <i>
      <x v="2"/>
    </i>
    <i>
      <x v="3"/>
    </i>
    <i>
      <x v="4"/>
    </i>
    <i t="grand">
      <x/>
    </i>
  </rowItems>
  <colFields count="1">
    <field x="28"/>
  </colFields>
  <colItems count="3">
    <i>
      <x/>
    </i>
    <i>
      <x v="1"/>
    </i>
    <i t="grand">
      <x/>
    </i>
  </colItems>
  <dataFields count="1">
    <dataField name="No of Produc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EA99C56-978E-4847-BBE5-A1D16A89756C}"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rrier name">
  <location ref="C55:G59" firstHeaderRow="0" firstDataRow="1" firstDataCol="1"/>
  <pivotFields count="32">
    <pivotField showAll="0">
      <items count="4">
        <item x="2"/>
        <item x="0"/>
        <item x="1"/>
        <item t="default"/>
      </items>
    </pivotField>
    <pivotField showAll="0"/>
    <pivotField numFmtId="164" showAll="0"/>
    <pivotField showAll="0"/>
    <pivotField numFmtId="1" showAll="0"/>
    <pivotField dataField="1" numFmtId="164" showAll="0"/>
    <pivotField showAll="0"/>
    <pivotField showAll="0"/>
    <pivotField showAll="0"/>
    <pivotField showAll="0"/>
    <pivotField dataField="1" showAll="0"/>
    <pivotField axis="axisRow" showAll="0">
      <items count="4">
        <item x="1"/>
        <item x="2"/>
        <item x="0"/>
        <item t="default"/>
      </items>
    </pivotField>
    <pivotField dataField="1" numFmtId="164" showAll="0"/>
    <pivotField showAll="0">
      <items count="6">
        <item x="4"/>
        <item x="2"/>
        <item x="1"/>
        <item x="3"/>
        <item x="0"/>
        <item t="default"/>
      </items>
    </pivotField>
    <pivotField showAll="0"/>
    <pivotField showAll="0"/>
    <pivotField showAll="0"/>
    <pivotField showAll="0"/>
    <pivotField numFmtId="164" showAll="0"/>
    <pivotField showAll="0"/>
    <pivotField numFmtId="9" showAll="0"/>
    <pivotField showAll="0"/>
    <pivotField showAll="0"/>
    <pivotField numFmtId="164" showAll="0"/>
    <pivotField numFmtId="164" showAll="0"/>
    <pivotField numFmtId="9" showAll="0"/>
    <pivotField showAll="0">
      <items count="4">
        <item x="1"/>
        <item x="2"/>
        <item x="0"/>
        <item t="default"/>
      </items>
    </pivotField>
    <pivotField showAll="0"/>
    <pivotField showAll="0"/>
    <pivotField showAll="0"/>
    <pivotField dataField="1" numFmtId="164" showAll="0"/>
    <pivotField showAll="0">
      <items count="3">
        <item x="0"/>
        <item x="1"/>
        <item t="default"/>
      </items>
    </pivotField>
  </pivotFields>
  <rowFields count="1">
    <field x="11"/>
  </rowFields>
  <rowItems count="4">
    <i>
      <x/>
    </i>
    <i>
      <x v="1"/>
    </i>
    <i>
      <x v="2"/>
    </i>
    <i t="grand">
      <x/>
    </i>
  </rowItems>
  <colFields count="1">
    <field x="-2"/>
  </colFields>
  <colItems count="4">
    <i>
      <x/>
    </i>
    <i i="1">
      <x v="1"/>
    </i>
    <i i="2">
      <x v="2"/>
    </i>
    <i i="3">
      <x v="3"/>
    </i>
  </colItems>
  <dataFields count="4">
    <dataField name="Shipping costs (Avg)" fld="12" subtotal="average" baseField="11" baseItem="0" numFmtId="164"/>
    <dataField name="Shipping Cost Per Unit (Avg)" fld="30" subtotal="average" baseField="11" baseItem="0" numFmtId="164"/>
    <dataField name="Shipping times (avg)" fld="10" subtotal="average" baseField="11" baseItem="0" numFmtId="1"/>
    <dataField name="Total Revenue shipped" fld="5" baseField="11" baseItem="0" numFmtId="164"/>
  </dataFields>
  <formats count="8">
    <format dxfId="45">
      <pivotArea outline="0" collapsedLevelsAreSubtotals="1" fieldPosition="0">
        <references count="1">
          <reference field="4294967294" count="1" selected="0">
            <x v="0"/>
          </reference>
        </references>
      </pivotArea>
    </format>
    <format dxfId="44">
      <pivotArea dataOnly="0" labelOnly="1" outline="0" fieldPosition="0">
        <references count="1">
          <reference field="4294967294" count="1">
            <x v="0"/>
          </reference>
        </references>
      </pivotArea>
    </format>
    <format dxfId="43">
      <pivotArea outline="0" collapsedLevelsAreSubtotals="1" fieldPosition="0">
        <references count="1">
          <reference field="4294967294" count="1" selected="0">
            <x v="1"/>
          </reference>
        </references>
      </pivotArea>
    </format>
    <format dxfId="42">
      <pivotArea dataOnly="0" labelOnly="1" outline="0" fieldPosition="0">
        <references count="1">
          <reference field="4294967294" count="1">
            <x v="1"/>
          </reference>
        </references>
      </pivotArea>
    </format>
    <format dxfId="41">
      <pivotArea outline="0" collapsedLevelsAreSubtotals="1" fieldPosition="0">
        <references count="1">
          <reference field="4294967294" count="1" selected="0">
            <x v="2"/>
          </reference>
        </references>
      </pivotArea>
    </format>
    <format dxfId="40">
      <pivotArea dataOnly="0" labelOnly="1" outline="0" fieldPosition="0">
        <references count="1">
          <reference field="4294967294" count="1">
            <x v="2"/>
          </reference>
        </references>
      </pivotArea>
    </format>
    <format dxfId="39">
      <pivotArea outline="0" collapsedLevelsAreSubtotals="1" fieldPosition="0">
        <references count="1">
          <reference field="4294967294" count="1" selected="0">
            <x v="3"/>
          </reference>
        </references>
      </pivotArea>
    </format>
    <format dxfId="38">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717A78-8A25-4742-9296-E5059BC4F6C3}"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rowHeaderCaption="Product Type">
  <location ref="C4:G8" firstHeaderRow="0" firstDataRow="1" firstDataCol="1"/>
  <pivotFields count="32">
    <pivotField axis="axisRow" showAll="0" sortType="descending">
      <items count="4">
        <item x="2"/>
        <item x="0"/>
        <item x="1"/>
        <item t="default"/>
      </items>
      <autoSortScope>
        <pivotArea dataOnly="0" outline="0" fieldPosition="0">
          <references count="1">
            <reference field="4294967294" count="1" selected="0">
              <x v="1"/>
            </reference>
          </references>
        </pivotArea>
      </autoSortScope>
    </pivotField>
    <pivotField showAll="0"/>
    <pivotField numFmtId="164" showAll="0"/>
    <pivotField showAll="0"/>
    <pivotField dataField="1" numFmtId="1" showAll="0"/>
    <pivotField dataField="1" numFmtId="164" showAll="0"/>
    <pivotField showAll="0"/>
    <pivotField showAll="0"/>
    <pivotField showAll="0"/>
    <pivotField showAll="0"/>
    <pivotField showAll="0"/>
    <pivotField showAll="0">
      <items count="4">
        <item x="1"/>
        <item x="2"/>
        <item x="0"/>
        <item t="default"/>
      </items>
    </pivotField>
    <pivotField numFmtId="164" showAll="0"/>
    <pivotField showAll="0">
      <items count="6">
        <item x="4"/>
        <item x="2"/>
        <item x="1"/>
        <item x="3"/>
        <item x="0"/>
        <item t="default"/>
      </items>
    </pivotField>
    <pivotField showAll="0"/>
    <pivotField showAll="0"/>
    <pivotField showAll="0"/>
    <pivotField showAll="0"/>
    <pivotField numFmtId="164" showAll="0"/>
    <pivotField showAll="0"/>
    <pivotField numFmtId="9" showAll="0"/>
    <pivotField showAll="0"/>
    <pivotField showAll="0"/>
    <pivotField numFmtId="164" showAll="0"/>
    <pivotField dataField="1" numFmtId="164" showAll="0"/>
    <pivotField dataField="1" numFmtId="9" showAll="0"/>
    <pivotField showAll="0">
      <items count="4">
        <item x="1"/>
        <item x="2"/>
        <item x="0"/>
        <item t="default"/>
      </items>
    </pivotField>
    <pivotField showAll="0"/>
    <pivotField showAll="0"/>
    <pivotField showAll="0"/>
    <pivotField numFmtId="164" showAll="0"/>
    <pivotField showAll="0">
      <items count="3">
        <item x="0"/>
        <item x="1"/>
        <item t="default"/>
      </items>
    </pivotField>
  </pivotFields>
  <rowFields count="1">
    <field x="0"/>
  </rowFields>
  <rowItems count="4">
    <i>
      <x v="2"/>
    </i>
    <i>
      <x v="1"/>
    </i>
    <i>
      <x/>
    </i>
    <i t="grand">
      <x/>
    </i>
  </rowItems>
  <colFields count="1">
    <field x="-2"/>
  </colFields>
  <colItems count="4">
    <i>
      <x/>
    </i>
    <i i="1">
      <x v="1"/>
    </i>
    <i i="2">
      <x v="2"/>
    </i>
    <i i="3">
      <x v="3"/>
    </i>
  </colItems>
  <dataFields count="4">
    <dataField name="Units Sold" fld="4" baseField="0" baseItem="0"/>
    <dataField name="Total Revenue" fld="5" baseField="0" baseItem="0" numFmtId="164"/>
    <dataField name="Total Profit " fld="24" baseField="0" baseItem="0" numFmtId="164"/>
    <dataField name=" profit margin %" fld="25" subtotal="average" baseField="0" baseItem="2" numFmtId="10"/>
  </dataFields>
  <formats count="5">
    <format dxfId="50">
      <pivotArea outline="0" collapsedLevelsAreSubtotals="1" fieldPosition="0">
        <references count="1">
          <reference field="4294967294" count="1" selected="0">
            <x v="2"/>
          </reference>
        </references>
      </pivotArea>
    </format>
    <format dxfId="49">
      <pivotArea dataOnly="0" labelOnly="1" outline="0" fieldPosition="0">
        <references count="1">
          <reference field="4294967294" count="1">
            <x v="2"/>
          </reference>
        </references>
      </pivotArea>
    </format>
    <format dxfId="48">
      <pivotArea outline="0" collapsedLevelsAreSubtotals="1" fieldPosition="0">
        <references count="1">
          <reference field="4294967294" count="1" selected="0">
            <x v="1"/>
          </reference>
        </references>
      </pivotArea>
    </format>
    <format dxfId="47">
      <pivotArea dataOnly="0" labelOnly="1" outline="0" fieldPosition="0">
        <references count="1">
          <reference field="4294967294" count="1">
            <x v="1"/>
          </reference>
        </references>
      </pivotArea>
    </format>
    <format dxfId="46">
      <pivotArea outline="0" collapsedLevelsAreSubtotals="1" fieldPosition="0">
        <references count="1">
          <reference field="4294967294" count="1" selected="0">
            <x v="3"/>
          </reference>
        </references>
      </pivotArea>
    </format>
  </formats>
  <chartFormats count="33">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8072143-ABB0-4FE8-9C6B-7DF4FA2220F4}"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Inpection result">
  <location ref="C92:E96" firstHeaderRow="0" firstDataRow="1" firstDataCol="1"/>
  <pivotFields count="32">
    <pivotField showAll="0">
      <items count="4">
        <item x="2"/>
        <item x="0"/>
        <item x="1"/>
        <item t="default"/>
      </items>
    </pivotField>
    <pivotField dataField="1" showAll="0"/>
    <pivotField numFmtId="164" showAll="0"/>
    <pivotField showAll="0"/>
    <pivotField numFmtId="1" showAll="0"/>
    <pivotField numFmtId="164" showAll="0"/>
    <pivotField showAll="0"/>
    <pivotField showAll="0"/>
    <pivotField showAll="0"/>
    <pivotField showAll="0"/>
    <pivotField showAll="0"/>
    <pivotField showAll="0">
      <items count="4">
        <item x="1"/>
        <item x="2"/>
        <item x="0"/>
        <item t="default"/>
      </items>
    </pivotField>
    <pivotField numFmtId="164" showAll="0"/>
    <pivotField showAll="0">
      <items count="6">
        <item x="4"/>
        <item x="2"/>
        <item x="1"/>
        <item x="3"/>
        <item x="0"/>
        <item t="default"/>
      </items>
    </pivotField>
    <pivotField showAll="0"/>
    <pivotField showAll="0"/>
    <pivotField showAll="0"/>
    <pivotField showAll="0"/>
    <pivotField numFmtId="164" showAll="0"/>
    <pivotField axis="axisRow" showAll="0">
      <items count="4">
        <item x="0"/>
        <item x="2"/>
        <item x="1"/>
        <item t="default"/>
      </items>
    </pivotField>
    <pivotField dataField="1" numFmtId="9" showAll="0"/>
    <pivotField showAll="0"/>
    <pivotField showAll="0"/>
    <pivotField numFmtId="164" showAll="0"/>
    <pivotField numFmtId="164" showAll="0"/>
    <pivotField numFmtId="9" showAll="0"/>
    <pivotField showAll="0">
      <items count="4">
        <item x="1"/>
        <item x="2"/>
        <item x="0"/>
        <item t="default"/>
      </items>
    </pivotField>
    <pivotField showAll="0"/>
    <pivotField showAll="0"/>
    <pivotField showAll="0"/>
    <pivotField numFmtId="164" showAll="0"/>
    <pivotField showAll="0">
      <items count="3">
        <item x="0"/>
        <item x="1"/>
        <item t="default"/>
      </items>
    </pivotField>
  </pivotFields>
  <rowFields count="1">
    <field x="19"/>
  </rowFields>
  <rowItems count="4">
    <i>
      <x/>
    </i>
    <i>
      <x v="1"/>
    </i>
    <i>
      <x v="2"/>
    </i>
    <i t="grand">
      <x/>
    </i>
  </rowItems>
  <colFields count="1">
    <field x="-2"/>
  </colFields>
  <colItems count="2">
    <i>
      <x/>
    </i>
    <i i="1">
      <x v="1"/>
    </i>
  </colItems>
  <dataFields count="2">
    <dataField name="Count of SKU" fld="1" subtotal="count" baseField="0" baseItem="0"/>
    <dataField name="Average of Defect rates" fld="20" subtotal="average" baseField="19" baseItem="0" numFmtId="2"/>
  </dataFields>
  <formats count="2">
    <format dxfId="52">
      <pivotArea outline="0" collapsedLevelsAreSubtotals="1" fieldPosition="0">
        <references count="1">
          <reference field="4294967294" count="1" selected="0">
            <x v="1"/>
          </reference>
        </references>
      </pivotArea>
    </format>
    <format dxfId="51">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79586E3-1560-488D-BD23-F9CAFB9B1049}" name="PivotTable4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H14:I20" firstHeaderRow="1" firstDataRow="1" firstDataCol="1"/>
  <pivotFields count="32">
    <pivotField showAll="0"/>
    <pivotField showAll="0"/>
    <pivotField numFmtId="164" showAll="0"/>
    <pivotField showAll="0"/>
    <pivotField numFmtId="1" showAll="0"/>
    <pivotField dataField="1" numFmtId="164" showAll="0"/>
    <pivotField showAll="0">
      <items count="5">
        <item x="0"/>
        <item x="1"/>
        <item x="3"/>
        <item x="2"/>
        <item t="default"/>
      </items>
    </pivotField>
    <pivotField showAll="0"/>
    <pivotField showAll="0"/>
    <pivotField showAll="0"/>
    <pivotField showAll="0"/>
    <pivotField showAll="0"/>
    <pivotField numFmtId="164"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numFmtId="9" showAll="0"/>
    <pivotField showAll="0"/>
    <pivotField showAll="0"/>
    <pivotField numFmtId="164" showAll="0"/>
    <pivotField numFmtId="164" showAll="0"/>
    <pivotField numFmtId="9" showAll="0"/>
    <pivotField showAll="0"/>
    <pivotField showAll="0"/>
    <pivotField showAll="0"/>
    <pivotField showAll="0"/>
    <pivotField numFmtId="164" showAll="0"/>
    <pivotField showAll="0"/>
  </pivotFields>
  <rowFields count="1">
    <field x="14"/>
  </rowFields>
  <rowItems count="6">
    <i>
      <x v="4"/>
    </i>
    <i>
      <x v="3"/>
    </i>
    <i>
      <x v="1"/>
    </i>
    <i>
      <x/>
    </i>
    <i>
      <x v="2"/>
    </i>
    <i t="grand">
      <x/>
    </i>
  </rowItems>
  <colItems count="1">
    <i/>
  </colItems>
  <dataFields count="1">
    <dataField name="Sum of Revenue generated" fld="5" baseField="0" baseItem="0" numFmtId="164"/>
  </dataFields>
  <formats count="2">
    <format dxfId="1">
      <pivotArea outline="0" collapsedLevelsAreSubtotals="1" fieldPosition="0"/>
    </format>
    <format dxfId="0">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EE07DDF-7CF7-4DC5-A17D-E6D19A10EB8D}" name="PivotTable4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rowHeaderCaption="carrier name">
  <location ref="G46:H50" firstHeaderRow="1" firstDataRow="1" firstDataCol="1"/>
  <pivotFields count="32">
    <pivotField showAll="0">
      <items count="4">
        <item x="2"/>
        <item x="0"/>
        <item x="1"/>
        <item t="default"/>
      </items>
    </pivotField>
    <pivotField showAll="0"/>
    <pivotField numFmtId="164" showAll="0"/>
    <pivotField showAll="0"/>
    <pivotField numFmtId="1" showAll="0"/>
    <pivotField numFmtId="164" showAll="0"/>
    <pivotField showAll="0"/>
    <pivotField showAll="0"/>
    <pivotField showAll="0"/>
    <pivotField showAll="0"/>
    <pivotField showAll="0"/>
    <pivotField axis="axisRow" showAll="0">
      <items count="4">
        <item x="1"/>
        <item x="2"/>
        <item x="0"/>
        <item t="default"/>
      </items>
    </pivotField>
    <pivotField numFmtId="164" showAll="0"/>
    <pivotField showAll="0">
      <items count="6">
        <item x="4"/>
        <item x="2"/>
        <item x="1"/>
        <item x="3"/>
        <item x="0"/>
        <item t="default"/>
      </items>
    </pivotField>
    <pivotField showAll="0"/>
    <pivotField showAll="0"/>
    <pivotField showAll="0"/>
    <pivotField showAll="0"/>
    <pivotField numFmtId="164" showAll="0"/>
    <pivotField showAll="0"/>
    <pivotField numFmtId="9" showAll="0"/>
    <pivotField showAll="0"/>
    <pivotField showAll="0"/>
    <pivotField numFmtId="164" showAll="0"/>
    <pivotField numFmtId="164" showAll="0"/>
    <pivotField numFmtId="9" showAll="0"/>
    <pivotField showAll="0">
      <items count="4">
        <item x="1"/>
        <item x="2"/>
        <item x="0"/>
        <item t="default"/>
      </items>
    </pivotField>
    <pivotField showAll="0"/>
    <pivotField showAll="0"/>
    <pivotField showAll="0"/>
    <pivotField dataField="1" numFmtId="164" showAll="0"/>
    <pivotField showAll="0">
      <items count="3">
        <item x="0"/>
        <item x="1"/>
        <item t="default"/>
      </items>
    </pivotField>
  </pivotFields>
  <rowFields count="1">
    <field x="11"/>
  </rowFields>
  <rowItems count="4">
    <i>
      <x/>
    </i>
    <i>
      <x v="1"/>
    </i>
    <i>
      <x v="2"/>
    </i>
    <i t="grand">
      <x/>
    </i>
  </rowItems>
  <colItems count="1">
    <i/>
  </colItems>
  <dataFields count="1">
    <dataField name="Shipping Cost Per Unit (Avg)" fld="30" subtotal="average" baseField="11" baseItem="0" numFmtId="164"/>
  </dataFields>
  <formats count="2">
    <format dxfId="3">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37ABA23-8953-4939-89FD-440B39A103EA}" name="PivotTable4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7" rowHeaderCaption="Product Type">
  <location ref="G5:I9" firstHeaderRow="0" firstDataRow="1" firstDataCol="1"/>
  <pivotFields count="32">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1" showAll="0"/>
    <pivotField dataField="1" numFmtId="164" showAll="0"/>
    <pivotField showAll="0"/>
    <pivotField showAll="0"/>
    <pivotField showAll="0"/>
    <pivotField showAll="0"/>
    <pivotField showAll="0"/>
    <pivotField showAll="0">
      <items count="4">
        <item x="1"/>
        <item x="2"/>
        <item x="0"/>
        <item t="default"/>
      </items>
    </pivotField>
    <pivotField numFmtId="164" showAll="0"/>
    <pivotField showAll="0">
      <items count="6">
        <item x="4"/>
        <item x="2"/>
        <item x="1"/>
        <item x="3"/>
        <item x="0"/>
        <item t="default"/>
      </items>
    </pivotField>
    <pivotField showAll="0"/>
    <pivotField showAll="0"/>
    <pivotField showAll="0"/>
    <pivotField showAll="0"/>
    <pivotField numFmtId="164" showAll="0"/>
    <pivotField showAll="0"/>
    <pivotField numFmtId="9" showAll="0"/>
    <pivotField showAll="0"/>
    <pivotField showAll="0"/>
    <pivotField numFmtId="164" showAll="0"/>
    <pivotField numFmtId="164" showAll="0"/>
    <pivotField dataField="1" numFmtId="9" showAll="0"/>
    <pivotField showAll="0">
      <items count="4">
        <item x="1"/>
        <item x="2"/>
        <item x="0"/>
        <item t="default"/>
      </items>
    </pivotField>
    <pivotField showAll="0"/>
    <pivotField showAll="0"/>
    <pivotField showAll="0"/>
    <pivotField numFmtId="164" showAll="0"/>
    <pivotField showAll="0">
      <items count="3">
        <item x="0"/>
        <item x="1"/>
        <item t="default"/>
      </items>
    </pivotField>
  </pivotFields>
  <rowFields count="1">
    <field x="0"/>
  </rowFields>
  <rowItems count="4">
    <i>
      <x v="2"/>
    </i>
    <i>
      <x v="1"/>
    </i>
    <i>
      <x/>
    </i>
    <i t="grand">
      <x/>
    </i>
  </rowItems>
  <colFields count="1">
    <field x="-2"/>
  </colFields>
  <colItems count="2">
    <i>
      <x/>
    </i>
    <i i="1">
      <x v="1"/>
    </i>
  </colItems>
  <dataFields count="2">
    <dataField name="Total Revenue" fld="5" baseField="0" baseItem="0" numFmtId="164"/>
    <dataField name=" profit margin %" fld="25" subtotal="average" baseField="0" baseItem="2" numFmtId="10"/>
  </dataFields>
  <formats count="3">
    <format dxfId="6">
      <pivotArea outline="0" collapsedLevelsAreSubtotals="1" fieldPosition="0">
        <references count="1">
          <reference field="4294967294" count="1" selected="0">
            <x v="0"/>
          </reference>
        </references>
      </pivotArea>
    </format>
    <format dxfId="5">
      <pivotArea dataOnly="0" labelOnly="1" outline="0" fieldPosition="0">
        <references count="1">
          <reference field="4294967294" count="1">
            <x v="0"/>
          </reference>
        </references>
      </pivotArea>
    </format>
    <format dxfId="4">
      <pivotArea outline="0" collapsedLevelsAreSubtotals="1" fieldPosition="0">
        <references count="1">
          <reference field="4294967294" count="1" selected="0">
            <x v="1"/>
          </reference>
        </references>
      </pivotArea>
    </format>
  </formats>
  <chartFormats count="13">
    <chartFormat chart="8"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34" format="8"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947A6C-3F9F-4584-A263-832B8647FF0A}" name="PivotTable4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D5:E9" firstHeaderRow="1" firstDataRow="1" firstDataCol="1"/>
  <pivotFields count="32">
    <pivotField showAll="0">
      <items count="4">
        <item x="2"/>
        <item x="0"/>
        <item x="1"/>
        <item t="default"/>
      </items>
    </pivotField>
    <pivotField showAll="0"/>
    <pivotField numFmtId="164" showAll="0"/>
    <pivotField showAll="0"/>
    <pivotField numFmtId="1"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numFmtId="164" showAll="0"/>
    <pivotField showAll="0"/>
    <pivotField numFmtId="9" showAll="0"/>
    <pivotField showAll="0"/>
    <pivotField showAll="0"/>
    <pivotField numFmtId="164" showAll="0"/>
    <pivotField numFmtId="164" showAll="0"/>
    <pivotField numFmtId="9" showAll="0"/>
    <pivotField axis="axisRow" dataField="1" showAll="0">
      <items count="4">
        <item x="1"/>
        <item x="2"/>
        <item x="0"/>
        <item t="default"/>
      </items>
    </pivotField>
    <pivotField showAll="0"/>
    <pivotField showAll="0"/>
    <pivotField showAll="0"/>
    <pivotField numFmtId="164" showAll="0"/>
    <pivotField showAll="0"/>
  </pivotFields>
  <rowFields count="1">
    <field x="26"/>
  </rowFields>
  <rowItems count="4">
    <i>
      <x/>
    </i>
    <i>
      <x v="1"/>
    </i>
    <i>
      <x v="2"/>
    </i>
    <i t="grand">
      <x/>
    </i>
  </rowItems>
  <colItems count="1">
    <i/>
  </colItems>
  <dataFields count="1">
    <dataField name="Total Stock" fld="26" subtotal="count" baseField="26" baseItem="0"/>
  </dataFields>
  <chartFormats count="4">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26" count="1" selected="0">
            <x v="0"/>
          </reference>
        </references>
      </pivotArea>
    </chartFormat>
    <chartFormat chart="6" format="22">
      <pivotArea type="data" outline="0" fieldPosition="0">
        <references count="2">
          <reference field="4294967294" count="1" selected="0">
            <x v="0"/>
          </reference>
          <reference field="26" count="1" selected="0">
            <x v="1"/>
          </reference>
        </references>
      </pivotArea>
    </chartFormat>
    <chartFormat chart="6" format="23">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4E13154-E9CC-40FD-B4C5-33E29F1CF753}" name="PivotTable4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3" rowHeaderCaption="Product Type">
  <location ref="A5:B9" firstHeaderRow="1" firstDataRow="1" firstDataCol="1"/>
  <pivotFields count="32">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1" showAll="0"/>
    <pivotField dataField="1" numFmtId="164" showAll="0"/>
    <pivotField showAll="0"/>
    <pivotField showAll="0"/>
    <pivotField showAll="0"/>
    <pivotField showAll="0"/>
    <pivotField showAll="0"/>
    <pivotField showAll="0">
      <items count="4">
        <item x="1"/>
        <item x="2"/>
        <item x="0"/>
        <item t="default"/>
      </items>
    </pivotField>
    <pivotField numFmtId="164" showAll="0"/>
    <pivotField showAll="0">
      <items count="6">
        <item x="4"/>
        <item x="2"/>
        <item x="1"/>
        <item x="3"/>
        <item x="0"/>
        <item t="default"/>
      </items>
    </pivotField>
    <pivotField showAll="0"/>
    <pivotField showAll="0"/>
    <pivotField showAll="0"/>
    <pivotField showAll="0"/>
    <pivotField numFmtId="164" showAll="0"/>
    <pivotField showAll="0"/>
    <pivotField numFmtId="9" showAll="0"/>
    <pivotField showAll="0"/>
    <pivotField showAll="0"/>
    <pivotField numFmtId="164" showAll="0"/>
    <pivotField numFmtId="164" showAll="0"/>
    <pivotField numFmtId="9" showAll="0"/>
    <pivotField showAll="0">
      <items count="4">
        <item x="1"/>
        <item x="2"/>
        <item x="0"/>
        <item t="default"/>
      </items>
    </pivotField>
    <pivotField showAll="0"/>
    <pivotField showAll="0"/>
    <pivotField showAll="0"/>
    <pivotField numFmtId="164" showAll="0"/>
    <pivotField showAll="0">
      <items count="3">
        <item x="0"/>
        <item x="1"/>
        <item t="default"/>
      </items>
    </pivotField>
  </pivotFields>
  <rowFields count="1">
    <field x="0"/>
  </rowFields>
  <rowItems count="4">
    <i>
      <x v="2"/>
    </i>
    <i>
      <x v="1"/>
    </i>
    <i>
      <x/>
    </i>
    <i t="grand">
      <x/>
    </i>
  </rowItems>
  <colItems count="1">
    <i/>
  </colItems>
  <dataFields count="1">
    <dataField name="Total Revenue" fld="5" baseField="0" baseItem="0" numFmtId="164"/>
  </dataFields>
  <formats count="2">
    <format dxfId="8">
      <pivotArea outline="0" collapsedLevelsAreSubtotals="1" fieldPosition="0">
        <references count="1">
          <reference field="4294967294" count="1" selected="0">
            <x v="0"/>
          </reference>
        </references>
      </pivotArea>
    </format>
    <format dxfId="7">
      <pivotArea dataOnly="0" labelOnly="1" outline="0" fieldPosition="0">
        <references count="1">
          <reference field="4294967294" count="1">
            <x v="0"/>
          </reference>
        </references>
      </pivotArea>
    </format>
  </formats>
  <chartFormats count="14">
    <chartFormat chart="8"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D7F1523-548F-4518-9EC7-11347B7484E7}" name="PivotTable3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fieldListSortAscending="1">
  <location ref="E14:F20" firstHeaderRow="1" firstDataRow="1" firstDataCol="1"/>
  <pivotFields count="32">
    <pivotField showAll="0">
      <items count="4">
        <item x="2"/>
        <item x="0"/>
        <item x="1"/>
        <item t="default"/>
      </items>
    </pivotField>
    <pivotField showAll="0"/>
    <pivotField numFmtId="164" showAll="0"/>
    <pivotField showAll="0"/>
    <pivotField numFmtId="1" showAll="0"/>
    <pivotField numFmtId="164" showAll="0"/>
    <pivotField showAll="0"/>
    <pivotField showAll="0"/>
    <pivotField showAll="0"/>
    <pivotField showAll="0"/>
    <pivotField showAll="0"/>
    <pivotField showAll="0">
      <items count="4">
        <item x="1"/>
        <item x="2"/>
        <item x="0"/>
        <item t="default"/>
      </items>
    </pivotField>
    <pivotField numFmtId="164" showAll="0"/>
    <pivotField axis="axisRow" showAll="0" sortType="ascending">
      <items count="6">
        <item x="4"/>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pivotField numFmtId="9" showAll="0"/>
    <pivotField showAll="0"/>
    <pivotField showAll="0"/>
    <pivotField numFmtId="164" showAll="0"/>
    <pivotField numFmtId="164" showAll="0"/>
    <pivotField numFmtId="9" showAll="0"/>
    <pivotField showAll="0">
      <items count="4">
        <item x="1"/>
        <item x="2"/>
        <item x="0"/>
        <item t="default"/>
      </items>
    </pivotField>
    <pivotField showAll="0"/>
    <pivotField showAll="0"/>
    <pivotField dataField="1" showAll="0"/>
    <pivotField numFmtId="164" showAll="0"/>
    <pivotField showAll="0">
      <items count="3">
        <item x="0"/>
        <item x="1"/>
        <item t="default"/>
      </items>
    </pivotField>
  </pivotFields>
  <rowFields count="1">
    <field x="13"/>
  </rowFields>
  <rowItems count="6">
    <i>
      <x v="2"/>
    </i>
    <i>
      <x/>
    </i>
    <i>
      <x v="4"/>
    </i>
    <i>
      <x v="1"/>
    </i>
    <i>
      <x v="3"/>
    </i>
    <i t="grand">
      <x/>
    </i>
  </rowItems>
  <colItems count="1">
    <i/>
  </colItems>
  <dataFields count="1">
    <dataField name="Lead days (Avg)" fld="29" subtotal="average" baseField="13" baseItem="0" numFmtId="1"/>
  </dataFields>
  <formats count="2">
    <format dxfId="10">
      <pivotArea outline="0" collapsedLevelsAreSubtotals="1" fieldPosition="0"/>
    </format>
    <format dxfId="9">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B1EEBE7-CF70-4712-9089-D714A020CB24}" autoFormatId="16" applyNumberFormats="0" applyBorderFormats="0" applyFontFormats="0" applyPatternFormats="0" applyAlignmentFormats="0" applyWidthHeightFormats="0">
  <queryTableRefresh nextId="25">
    <queryTableFields count="24">
      <queryTableField id="1" name="Product type" tableColumnId="1"/>
      <queryTableField id="2" name="SKU" tableColumnId="2"/>
      <queryTableField id="3" name="Price" tableColumnId="3"/>
      <queryTableField id="4" name="Availability" tableColumnId="4"/>
      <queryTableField id="5" name="Number of products sold" tableColumnId="5"/>
      <queryTableField id="6" name="Revenue generated" tableColumnId="6"/>
      <queryTableField id="7" name="Customer demographics" tableColumnId="7"/>
      <queryTableField id="8" name="Stock levels" tableColumnId="8"/>
      <queryTableField id="9" name="Lead times" tableColumnId="9"/>
      <queryTableField id="10" name="Order quantities" tableColumnId="10"/>
      <queryTableField id="11" name="Shipping times" tableColumnId="11"/>
      <queryTableField id="12" name="Shipping carriers" tableColumnId="12"/>
      <queryTableField id="13" name="Shipping costs" tableColumnId="13"/>
      <queryTableField id="14" name="Supplier name" tableColumnId="14"/>
      <queryTableField id="15" name="Location" tableColumnId="15"/>
      <queryTableField id="16" name="Lead time" tableColumnId="16"/>
      <queryTableField id="17" name="Production volumes" tableColumnId="17"/>
      <queryTableField id="18" name="Manufacturing lead time" tableColumnId="18"/>
      <queryTableField id="19" name="Manufacturing costs" tableColumnId="19"/>
      <queryTableField id="20" name="Inspection results" tableColumnId="20"/>
      <queryTableField id="21" name="Defect rates" tableColumnId="21"/>
      <queryTableField id="22" name="Transportation modes" tableColumnId="22"/>
      <queryTableField id="23" name="Routes" tableColumnId="23"/>
      <queryTableField id="24" name="Costs"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3FAE7E92-A998-4938-A8D0-EFAF1A725118}" sourceName="Product Type">
  <pivotTables>
    <pivotTable tabId="10" name="PivotTable13"/>
    <pivotTable tabId="10" name="PivotTable11"/>
    <pivotTable tabId="10" name="PivotTable12"/>
    <pivotTable tabId="10" name="PivotTable14"/>
    <pivotTable tabId="10" name="PivotTable15"/>
    <pivotTable tabId="10" name="PivotTable16"/>
    <pivotTable tabId="10" name="PivotTable17"/>
    <pivotTable tabId="10" name="PivotTable18"/>
    <pivotTable tabId="10" name="PivotTable19"/>
    <pivotTable tabId="10" name="PivotTable20"/>
    <pivotTable tabId="10" name="PivotTable21"/>
    <pivotTable tabId="10" name="PivotTable22"/>
    <pivotTable tabId="10" name="PivotTable4"/>
    <pivotTable tabId="10" name="PivotTable6"/>
    <pivotTable tabId="10" name="PivotTable9"/>
    <pivotTable tabId="11" name="PivotTable30"/>
    <pivotTable tabId="11" name="PivotTable40"/>
    <pivotTable tabId="11" name="PivotTable42"/>
    <pivotTable tabId="11" name="PivotTable43"/>
    <pivotTable tabId="11" name="PivotTable41"/>
  </pivotTables>
  <data>
    <tabular pivotCacheId="118280951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arriers" xr10:uid="{45AF4D32-EB5E-4F3F-9EF2-2E2C1BE02BA0}" sourceName="Shipping carriers">
  <pivotTables>
    <pivotTable tabId="10" name="PivotTable13"/>
    <pivotTable tabId="10" name="PivotTable11"/>
    <pivotTable tabId="10" name="PivotTable12"/>
    <pivotTable tabId="10" name="PivotTable14"/>
    <pivotTable tabId="10" name="PivotTable15"/>
    <pivotTable tabId="10" name="PivotTable16"/>
    <pivotTable tabId="10" name="PivotTable17"/>
    <pivotTable tabId="10" name="PivotTable18"/>
    <pivotTable tabId="10" name="PivotTable19"/>
    <pivotTable tabId="10" name="PivotTable20"/>
    <pivotTable tabId="10" name="PivotTable21"/>
    <pivotTable tabId="10" name="PivotTable22"/>
    <pivotTable tabId="10" name="PivotTable4"/>
    <pivotTable tabId="10" name="PivotTable6"/>
    <pivotTable tabId="10" name="PivotTable9"/>
    <pivotTable tabId="11" name="PivotTable30"/>
    <pivotTable tabId="11" name="PivotTable40"/>
    <pivotTable tabId="11" name="PivotTable42"/>
    <pivotTable tabId="11" name="PivotTable43"/>
  </pivotTables>
  <data>
    <tabular pivotCacheId="118280951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A325AC04-64BD-4CCE-A5E2-3E400986834F}" sourceName="Supplier name">
  <pivotTables>
    <pivotTable tabId="10" name="PivotTable13"/>
    <pivotTable tabId="10" name="PivotTable11"/>
    <pivotTable tabId="10" name="PivotTable12"/>
    <pivotTable tabId="10" name="PivotTable14"/>
    <pivotTable tabId="10" name="PivotTable15"/>
    <pivotTable tabId="10" name="PivotTable16"/>
    <pivotTable tabId="10" name="PivotTable17"/>
    <pivotTable tabId="10" name="PivotTable18"/>
    <pivotTable tabId="10" name="PivotTable19"/>
    <pivotTable tabId="10" name="PivotTable20"/>
    <pivotTable tabId="10" name="PivotTable21"/>
    <pivotTable tabId="10" name="PivotTable22"/>
    <pivotTable tabId="10" name="PivotTable4"/>
    <pivotTable tabId="10" name="PivotTable6"/>
    <pivotTable tabId="10" name="PivotTable9"/>
    <pivotTable tabId="11" name="PivotTable30"/>
    <pivotTable tabId="11" name="PivotTable40"/>
    <pivotTable tabId="11" name="PivotTable42"/>
    <pivotTable tabId="11" name="PivotTable43"/>
  </pivotTables>
  <data>
    <tabular pivotCacheId="1182809512">
      <items count="5">
        <i x="4" s="1"/>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Risk" xr10:uid="{9331347B-78E9-4C6B-8010-FD97041B49DC}" sourceName="Stock Risk">
  <pivotTables>
    <pivotTable tabId="10" name="PivotTable13"/>
    <pivotTable tabId="10" name="PivotTable11"/>
    <pivotTable tabId="10" name="PivotTable12"/>
    <pivotTable tabId="10" name="PivotTable14"/>
    <pivotTable tabId="10" name="PivotTable15"/>
    <pivotTable tabId="10" name="PivotTable16"/>
    <pivotTable tabId="10" name="PivotTable17"/>
    <pivotTable tabId="10" name="PivotTable18"/>
    <pivotTable tabId="10" name="PivotTable19"/>
    <pivotTable tabId="10" name="PivotTable20"/>
    <pivotTable tabId="10" name="PivotTable21"/>
    <pivotTable tabId="10" name="PivotTable22"/>
    <pivotTable tabId="10" name="PivotTable4"/>
    <pivotTable tabId="10" name="PivotTable6"/>
    <pivotTable tabId="10" name="PivotTable9"/>
    <pivotTable tabId="11" name="PivotTable30"/>
    <pivotTable tabId="11" name="PivotTable40"/>
    <pivotTable tabId="11" name="PivotTable42"/>
    <pivotTable tabId="11" name="PivotTable43"/>
    <pivotTable tabId="11" name="PivotTable41"/>
  </pivotTables>
  <data>
    <tabular pivotCacheId="1182809512">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Performance_Flag" xr10:uid="{38322F0B-2F6B-4D70-B2C9-7E73CEDA4A4F}" sourceName="Supplier Performance Flag">
  <pivotTables>
    <pivotTable tabId="10" name="PivotTable13"/>
    <pivotTable tabId="10" name="PivotTable11"/>
    <pivotTable tabId="10" name="PivotTable12"/>
    <pivotTable tabId="10" name="PivotTable14"/>
    <pivotTable tabId="10" name="PivotTable15"/>
    <pivotTable tabId="10" name="PivotTable16"/>
    <pivotTable tabId="10" name="PivotTable17"/>
    <pivotTable tabId="10" name="PivotTable18"/>
    <pivotTable tabId="10" name="PivotTable19"/>
    <pivotTable tabId="10" name="PivotTable20"/>
    <pivotTable tabId="10" name="PivotTable21"/>
    <pivotTable tabId="10" name="PivotTable22"/>
    <pivotTable tabId="10" name="PivotTable4"/>
    <pivotTable tabId="10" name="PivotTable6"/>
    <pivotTable tabId="10" name="PivotTable9"/>
    <pivotTable tabId="11" name="PivotTable30"/>
    <pivotTable tabId="11" name="PivotTable40"/>
    <pivotTable tabId="11" name="PivotTable42"/>
    <pivotTable tabId="11" name="PivotTable43"/>
  </pivotTables>
  <data>
    <tabular pivotCacheId="118280951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0C9B2C95-D2D0-4C1D-92C4-79644E69E065}" cache="Slicer_Product_Type" caption="Product Type" rowHeight="234950"/>
  <slicer name="Shipping carriers" xr10:uid="{5C514258-5546-47DB-A747-7682DBB17B70}" cache="Slicer_Shipping_carriers" caption="Shipping carriers" rowHeight="234950"/>
  <slicer name="Supplier name" xr10:uid="{78F7D611-EA25-4701-8F30-E669100AD83F}" cache="Slicer_Supplier_name" caption="Supplier name" rowHeight="234950"/>
  <slicer name="Stock Risk" xr10:uid="{61E476EF-EB5E-45FF-A41F-9056082FDFEE}" cache="Slicer_Stock_Risk" caption="Stock Risk" rowHeight="234950"/>
  <slicer name="Supplier Performance Flag" xr10:uid="{9AEC42C5-DBFF-46E4-89EF-1981078601A0}" cache="Slicer_Supplier_Performance_Flag" caption="Supplier Performance Flag"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2" xr10:uid="{7A1CF9B8-C2E2-4079-A92A-1F6F9025FB5C}" cache="Slicer_Product_Type" caption="Product Type" rowHeight="234950"/>
  <slicer name="Shipping carriers 1" xr10:uid="{5CA6BFF7-1DF8-46B6-AF21-861C33FFFA69}" cache="Slicer_Shipping_carriers" caption="Shipping carriers" rowHeight="234950"/>
  <slicer name="Supplier name 1" xr10:uid="{AFE25447-22A0-4DA0-A58C-4710E3BDC202}" cache="Slicer_Supplier_name" caption="Supplier name" columnCount="2" rowHeight="234950"/>
  <slicer name="Stock Risk 1" xr10:uid="{9EAA0A1C-9B6B-4011-9D87-2991558DCCA5}" cache="Slicer_Stock_Risk" caption="Stock Risk" rowHeight="234950"/>
  <slicer name="Supplier Performance Flag 1" xr10:uid="{3C81F614-04CD-4DB7-B614-9937C57E1489}" cache="Slicer_Supplier_Performance_Flag" caption="Supplier Performance Flag"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2E8E1E-4FCE-4325-BE44-67D5D4D0A49E}" name="raw_data" displayName="raw_data" ref="A1:X101" tableType="queryTable" totalsRowShown="0">
  <autoFilter ref="A1:X101" xr:uid="{F0F18B2B-5D59-4DDD-B04E-56F240AA1016}"/>
  <tableColumns count="24">
    <tableColumn id="1" xr3:uid="{3E06CB40-E330-4098-8BFD-244CB80BBC17}" uniqueName="1" name="Product type" queryTableFieldId="1" dataDxfId="128"/>
    <tableColumn id="2" xr3:uid="{48FE72AC-46F2-4AE2-9499-4D19D5A7B688}" uniqueName="2" name="SKU" queryTableFieldId="2" dataDxfId="127"/>
    <tableColumn id="3" xr3:uid="{D6E27008-2935-4781-82C3-C4D3FB3CD2D9}" uniqueName="3" name="Price" queryTableFieldId="3"/>
    <tableColumn id="4" xr3:uid="{63C5B4DF-71D0-4C26-AD77-19064BEEC4CB}" uniqueName="4" name="Availability" queryTableFieldId="4"/>
    <tableColumn id="5" xr3:uid="{4ED2E3DA-96B9-42CC-8735-D53ED72992B6}" uniqueName="5" name="Number of products sold" queryTableFieldId="5"/>
    <tableColumn id="6" xr3:uid="{87EF3069-AAF3-491F-89BE-DD29A066A746}" uniqueName="6" name="Revenue generated" queryTableFieldId="6"/>
    <tableColumn id="7" xr3:uid="{9E112E50-72A6-496E-8396-FD482009249D}" uniqueName="7" name="Customer demographics" queryTableFieldId="7" dataDxfId="126"/>
    <tableColumn id="8" xr3:uid="{2F267ABA-B729-4104-87FE-8E61F17B2A2C}" uniqueName="8" name="Stock levels" queryTableFieldId="8"/>
    <tableColumn id="9" xr3:uid="{AD89E386-2BB2-4B87-90E6-86CD1026B160}" uniqueName="9" name="Lead times" queryTableFieldId="9"/>
    <tableColumn id="10" xr3:uid="{C0EE637A-69D1-4A82-97B6-4FB3C9599B8E}" uniqueName="10" name="Order quantities" queryTableFieldId="10"/>
    <tableColumn id="11" xr3:uid="{38E6CCAD-D992-42A0-B077-FCD0558D0303}" uniqueName="11" name="Shipping times" queryTableFieldId="11"/>
    <tableColumn id="12" xr3:uid="{E5D09257-9A8A-4C6E-AE0A-F74826116160}" uniqueName="12" name="Shipping carriers" queryTableFieldId="12" dataDxfId="125"/>
    <tableColumn id="13" xr3:uid="{1348162E-B331-42CC-8E00-C3D024A8163F}" uniqueName="13" name="Shipping costs" queryTableFieldId="13"/>
    <tableColumn id="14" xr3:uid="{9AA56004-27A7-41BA-AA75-939F15E47460}" uniqueName="14" name="Supplier name" queryTableFieldId="14" dataDxfId="124"/>
    <tableColumn id="15" xr3:uid="{84D234B7-DBC5-43D1-9160-262E69CF4393}" uniqueName="15" name="Location" queryTableFieldId="15" dataDxfId="123"/>
    <tableColumn id="16" xr3:uid="{B7358302-3A60-48C7-BD56-9EC05442410D}" uniqueName="16" name="Lead time" queryTableFieldId="16"/>
    <tableColumn id="17" xr3:uid="{17DB481F-EEB3-448B-B021-DA2B8B85BDA7}" uniqueName="17" name="Production volumes" queryTableFieldId="17"/>
    <tableColumn id="18" xr3:uid="{F4F1CDDE-0BA3-4D8C-8C6F-62AD30FFFC0A}" uniqueName="18" name="Manufacturing lead time" queryTableFieldId="18"/>
    <tableColumn id="19" xr3:uid="{C88BF766-4D4E-4AD1-BBB9-4F6905A4DFD8}" uniqueName="19" name="Manufacturing costs" queryTableFieldId="19"/>
    <tableColumn id="20" xr3:uid="{B4A1EDCC-2720-4235-BD85-99C2CA499F77}" uniqueName="20" name="Inspection results" queryTableFieldId="20" dataDxfId="122"/>
    <tableColumn id="21" xr3:uid="{8B260A01-139F-4CE4-BF82-4DE760C18F6A}" uniqueName="21" name="Defect rates" queryTableFieldId="21"/>
    <tableColumn id="22" xr3:uid="{602F79BC-F61C-4112-B429-7EED5C89E86E}" uniqueName="22" name="Transportation modes" queryTableFieldId="22" dataDxfId="121"/>
    <tableColumn id="23" xr3:uid="{F5242B5D-39BF-4427-960D-B31A6613C3B7}" uniqueName="23" name="Routes" queryTableFieldId="23" dataDxfId="120"/>
    <tableColumn id="24" xr3:uid="{EFB77DC7-B947-4CDF-BCDD-D7E2BF433FAB}" uniqueName="24" name="Costs" queryTableFieldId="24"/>
  </tableColumns>
  <tableStyleInfo name="TableStyleMedium13"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83B3C1-0CF6-4D20-8F69-0B19AAB9FAC4}" name="Table3" displayName="Table3" ref="A1:AF101" dataDxfId="118" tableBorderDxfId="117">
  <autoFilter ref="A1:AF101" xr:uid="{061B1C74-89E9-4962-86B8-A2E3A28B76DD}"/>
  <sortState ref="A2:AB101">
    <sortCondition descending="1" ref="U1:U101"/>
  </sortState>
  <tableColumns count="32">
    <tableColumn id="1" xr3:uid="{75346F47-AF1F-4750-8D9F-3D732EC112BA}" name="Product Type" totalsRowLabel="Total" dataDxfId="116" totalsRowDxfId="115"/>
    <tableColumn id="2" xr3:uid="{24390DF7-5597-4A4A-86F5-7AAD88CF7A8D}" name="SKU" dataDxfId="114" totalsRowDxfId="113"/>
    <tableColumn id="3" xr3:uid="{E000C244-AEB4-48E0-9B1E-6E8465A42FE5}" name="Price" dataDxfId="112" totalsRowDxfId="111" dataCellStyle="Currency"/>
    <tableColumn id="4" xr3:uid="{F906D635-197E-46B9-BE0D-395099F57782}" name="Availability" dataDxfId="110" totalsRowDxfId="109"/>
    <tableColumn id="5" xr3:uid="{78638BC3-633D-4D20-B6C1-1F02E107AB49}" name="Number of products sold" dataDxfId="108" totalsRowDxfId="107"/>
    <tableColumn id="6" xr3:uid="{D5B5B451-A11D-45F4-980F-BCAE25059EB2}" name="Revenue generated" dataDxfId="106" totalsRowDxfId="105"/>
    <tableColumn id="7" xr3:uid="{03CEBFFC-02B6-480B-8818-7DF38E4FBEBA}" name="Customer demographics" dataDxfId="104" totalsRowDxfId="103"/>
    <tableColumn id="8" xr3:uid="{84F27CA5-8685-4BEC-8858-314C2F34891A}" name="Stock levels" dataDxfId="102" totalsRowDxfId="101"/>
    <tableColumn id="9" xr3:uid="{3787BB83-A91A-4B25-8BB1-D6ED9D61AB55}" name="order Lead times" dataDxfId="100" totalsRowDxfId="99"/>
    <tableColumn id="10" xr3:uid="{2CE962F0-9503-4FEF-A739-447893B97AB5}" name="Order quantities" dataDxfId="98" totalsRowDxfId="97"/>
    <tableColumn id="11" xr3:uid="{B5178760-E52E-46AB-BFA8-FC5AFC324176}" name="Shipping times" dataDxfId="96" totalsRowDxfId="95"/>
    <tableColumn id="12" xr3:uid="{588BDDD8-E904-45B6-B4FB-FA43B88A2612}" name="Shipping carriers" dataDxfId="94" totalsRowDxfId="93"/>
    <tableColumn id="13" xr3:uid="{5368CFDA-B65B-4500-BD21-657637F0F6B2}" name="Shipping costs" dataDxfId="92" totalsRowDxfId="91"/>
    <tableColumn id="14" xr3:uid="{3D12E216-16D8-4920-88DC-6B989E4B575E}" name="Supplier name" dataDxfId="90" totalsRowDxfId="89"/>
    <tableColumn id="15" xr3:uid="{BC19DD3C-BF22-4B5B-97A4-48AB9B08038D}" name="Location" dataDxfId="88" totalsRowDxfId="87"/>
    <tableColumn id="16" xr3:uid="{383860C3-96DD-432D-892C-0C280E1C5621}" name="Lead time" dataDxfId="86" totalsRowDxfId="85"/>
    <tableColumn id="17" xr3:uid="{09E018A8-B657-4B24-AF4C-14CE977C3B21}" name="Production volumes" dataDxfId="84" totalsRowDxfId="83"/>
    <tableColumn id="18" xr3:uid="{26D96920-C39A-4131-B867-3C0B03F6018A}" name="Manufacturing lead time" dataDxfId="82" totalsRowDxfId="81"/>
    <tableColumn id="19" xr3:uid="{82B82419-0619-41F2-993C-13054CEB41E5}" name="Manufacturing costs" dataDxfId="80" totalsRowDxfId="79"/>
    <tableColumn id="20" xr3:uid="{B113F046-54B5-4602-8046-7E547FC46BD5}" name="Inspection results" dataDxfId="78" totalsRowDxfId="77"/>
    <tableColumn id="21" xr3:uid="{7BC11BB1-C7E3-489E-905A-299E9D6C0ED2}" name="Defect rates" dataDxfId="76" totalsRowDxfId="75" dataCellStyle="Percent"/>
    <tableColumn id="22" xr3:uid="{64E08555-61C1-4B4E-9855-4F7F01915DBA}" name="Transportation modes" dataDxfId="74" totalsRowDxfId="73"/>
    <tableColumn id="23" xr3:uid="{316CCCD4-C742-4442-ADBE-6A2C777B39A0}" name="Routes" dataDxfId="72" totalsRowDxfId="71"/>
    <tableColumn id="24" xr3:uid="{5414BC0F-7895-4716-846A-17566765FCB0}" name="Costs" dataDxfId="70" totalsRowDxfId="69"/>
    <tableColumn id="27" xr3:uid="{E608185D-9F93-47DF-93EF-37F993928C5E}" name="Profit " dataDxfId="68" totalsRowDxfId="67" dataCellStyle="Currency">
      <calculatedColumnFormula xml:space="preserve"> F2 -X2</calculatedColumnFormula>
    </tableColumn>
    <tableColumn id="28" xr3:uid="{2E9C4CAE-BA2D-4F16-8601-C435E26DC948}" name="profit margin %" dataDxfId="66" totalsRowDxfId="65" dataCellStyle="Percent">
      <calculatedColumnFormula>(Table3[[#This Row],[Revenue generated]]-Table3[[#This Row],[Costs]])/Table3[[#This Row],[Revenue generated]]</calculatedColumnFormula>
    </tableColumn>
    <tableColumn id="30" xr3:uid="{2BBE1550-BA2D-4B38-8AE8-F262031E732C}" name="Stock Risk" dataDxfId="64" totalsRowDxfId="63">
      <calculatedColumnFormula>IF(Table3[[#This Row],[Stock levels]]&lt;Table3[[#This Row],[Order quantities]]*0.2,"Critical",IF(Table3[[#This Row],[Stock levels]]&lt;Table3[[#This Row],[Order quantities]]*0.5,"low","Adquate"))</calculatedColumnFormula>
    </tableColumn>
    <tableColumn id="31" xr3:uid="{EF5C52CE-0D66-4D1C-BB6F-CF9C7BC7AF26}" name="Revenue Tier" dataDxfId="62" totalsRowDxfId="61">
      <calculatedColumnFormula>IF( F2 &gt;=Calculations!$B$3,"High",
   IF(F2 &gt;=Calculations!$B$2,"Medium",
   "Low"))</calculatedColumnFormula>
    </tableColumn>
    <tableColumn id="32" xr3:uid="{1819A369-DF6E-4F73-A3BF-6895FD77D88A}" name="Defect Category" dataDxfId="60" totalsRowDxfId="59">
      <calculatedColumnFormula>_xlfn.IFS(Table3[[#This Row],[Defect rates]] &lt; 0.02,"Excellent",Table3[[#This Row],[Defect rates]] &lt; 0.05,"Acceptable",Table3[[#This Row],[Defect rates]] &lt; 0.1,"Concerning",Table3[[#This Row],[Defect rates]] &gt; 0.1,"Critical")</calculatedColumnFormula>
    </tableColumn>
    <tableColumn id="33" xr3:uid="{08897BAD-DBAC-41E5-9995-FF312631929C}" name="Total Lead Time" dataDxfId="58" totalsRowDxfId="57">
      <calculatedColumnFormula xml:space="preserve"> Table3[[#This Row],[order Lead times]]+Table3[[#This Row],[Manufacturing lead time]]</calculatedColumnFormula>
    </tableColumn>
    <tableColumn id="34" xr3:uid="{4455B5AF-F042-4C26-A00D-4266DD12BEA8}" name="Shipping Cost Per Unit" dataDxfId="56" totalsRowDxfId="55">
      <calculatedColumnFormula>Table3[[#This Row],[Shipping costs]]/Table3[[#This Row],[Number of products sold]]</calculatedColumnFormula>
    </tableColumn>
    <tableColumn id="37" xr3:uid="{873F40CB-E829-476A-91AD-6426806C6780}" name="Supplier Performance Flag" totalsRowFunction="count" dataDxfId="54" totalsRowDxfId="53">
      <calculatedColumnFormula>IF(AND(Table3[[#This Row],[Total Lead Time]]&gt;Calculations!$B$6,
        Table3[[#This Row],[Defect rates]]&gt;Calculations!$B$7),
   "Underperforming",
   IF(Table3[[#This Row],[Total Lead Time]]&gt;Calculations!$B$6,
      "Slow",
      IF(Table3[[#This Row],[Defect rates]]&gt;Calculations!$B$7,
         "Quality Issue",
         "Good")))</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34EC7-C67F-485B-8085-068A39D3AC01}">
  <dimension ref="A1:X101"/>
  <sheetViews>
    <sheetView topLeftCell="G1" workbookViewId="0">
      <pane ySplit="1" topLeftCell="A2" activePane="bottomLeft" state="frozen"/>
      <selection activeCell="D1" sqref="D1"/>
      <selection pane="bottomLeft" activeCell="H14" sqref="H14"/>
    </sheetView>
  </sheetViews>
  <sheetFormatPr defaultRowHeight="14.4" x14ac:dyDescent="0.3"/>
  <cols>
    <col min="1" max="1" width="14.109375" bestFit="1" customWidth="1"/>
    <col min="2" max="2" width="6.6640625" bestFit="1" customWidth="1"/>
    <col min="3" max="3" width="12" bestFit="1" customWidth="1"/>
    <col min="4" max="4" width="12.44140625" bestFit="1" customWidth="1"/>
    <col min="5" max="5" width="24.44140625" bestFit="1" customWidth="1"/>
    <col min="6" max="6" width="19.77734375" bestFit="1" customWidth="1"/>
    <col min="7" max="7" width="24" bestFit="1" customWidth="1"/>
    <col min="8" max="8" width="13" bestFit="1" customWidth="1"/>
    <col min="9" max="9" width="12.21875" bestFit="1" customWidth="1"/>
    <col min="10" max="10" width="16.88671875" bestFit="1" customWidth="1"/>
    <col min="11" max="11" width="15.6640625" bestFit="1" customWidth="1"/>
    <col min="12" max="12" width="17.21875" bestFit="1" customWidth="1"/>
    <col min="13" max="13" width="15.33203125" bestFit="1" customWidth="1"/>
    <col min="14" max="14" width="15.44140625" bestFit="1" customWidth="1"/>
    <col min="15" max="15" width="10.44140625" bestFit="1" customWidth="1"/>
    <col min="16" max="16" width="11.44140625" bestFit="1" customWidth="1"/>
    <col min="17" max="17" width="20.33203125" bestFit="1" customWidth="1"/>
    <col min="18" max="18" width="24.33203125" bestFit="1" customWidth="1"/>
    <col min="19" max="19" width="20.6640625" bestFit="1" customWidth="1"/>
    <col min="20" max="20" width="18" bestFit="1" customWidth="1"/>
    <col min="21" max="21" width="13.21875" bestFit="1" customWidth="1"/>
    <col min="22" max="22" width="22" bestFit="1" customWidth="1"/>
    <col min="23" max="23" width="9" bestFit="1" customWidth="1"/>
    <col min="24" max="24" width="12"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s="1" t="s">
        <v>24</v>
      </c>
      <c r="B2" s="1" t="s">
        <v>25</v>
      </c>
      <c r="C2">
        <v>69.808005542115765</v>
      </c>
      <c r="D2">
        <v>55</v>
      </c>
      <c r="E2">
        <v>802</v>
      </c>
      <c r="F2">
        <v>8661.9967923923832</v>
      </c>
      <c r="G2" s="1" t="s">
        <v>26</v>
      </c>
      <c r="H2">
        <v>58</v>
      </c>
      <c r="I2">
        <v>7</v>
      </c>
      <c r="J2">
        <v>96</v>
      </c>
      <c r="K2">
        <v>4</v>
      </c>
      <c r="L2" s="1" t="s">
        <v>27</v>
      </c>
      <c r="M2">
        <v>2.9565721394308069</v>
      </c>
      <c r="N2" s="1" t="s">
        <v>28</v>
      </c>
      <c r="O2" s="1" t="s">
        <v>29</v>
      </c>
      <c r="P2">
        <v>29</v>
      </c>
      <c r="Q2">
        <v>215</v>
      </c>
      <c r="R2">
        <v>29</v>
      </c>
      <c r="S2">
        <v>46.279879240508322</v>
      </c>
      <c r="T2" s="1" t="s">
        <v>30</v>
      </c>
      <c r="U2">
        <v>0.22641036084992516</v>
      </c>
      <c r="V2" s="1" t="s">
        <v>31</v>
      </c>
      <c r="W2" s="1" t="s">
        <v>32</v>
      </c>
      <c r="X2">
        <v>187.75207545920392</v>
      </c>
    </row>
    <row r="3" spans="1:24" x14ac:dyDescent="0.3">
      <c r="A3" s="1" t="s">
        <v>33</v>
      </c>
      <c r="B3" s="1" t="s">
        <v>34</v>
      </c>
      <c r="C3">
        <v>14.843523275084339</v>
      </c>
      <c r="D3">
        <v>95</v>
      </c>
      <c r="E3">
        <v>736</v>
      </c>
      <c r="F3">
        <v>7460.9000654458487</v>
      </c>
      <c r="G3" s="1" t="s">
        <v>35</v>
      </c>
      <c r="H3">
        <v>53</v>
      </c>
      <c r="I3">
        <v>30</v>
      </c>
      <c r="J3">
        <v>37</v>
      </c>
      <c r="K3">
        <v>2</v>
      </c>
      <c r="L3" s="1" t="s">
        <v>36</v>
      </c>
      <c r="M3">
        <v>9.7165747714313095</v>
      </c>
      <c r="N3" s="1" t="s">
        <v>28</v>
      </c>
      <c r="O3" s="1" t="s">
        <v>29</v>
      </c>
      <c r="P3">
        <v>23</v>
      </c>
      <c r="Q3">
        <v>517</v>
      </c>
      <c r="R3">
        <v>30</v>
      </c>
      <c r="S3">
        <v>33.616768953730002</v>
      </c>
      <c r="T3" s="1" t="s">
        <v>30</v>
      </c>
      <c r="U3">
        <v>4.8540680263887062</v>
      </c>
      <c r="V3" s="1" t="s">
        <v>31</v>
      </c>
      <c r="W3" s="1" t="s">
        <v>32</v>
      </c>
      <c r="X3">
        <v>503.06557914966919</v>
      </c>
    </row>
    <row r="4" spans="1:24" x14ac:dyDescent="0.3">
      <c r="A4" s="1" t="s">
        <v>24</v>
      </c>
      <c r="B4" s="1" t="s">
        <v>37</v>
      </c>
      <c r="C4">
        <v>11.319683293090566</v>
      </c>
      <c r="D4">
        <v>34</v>
      </c>
      <c r="E4">
        <v>8</v>
      </c>
      <c r="F4">
        <v>9577.7496258687297</v>
      </c>
      <c r="G4" s="1" t="s">
        <v>38</v>
      </c>
      <c r="H4">
        <v>1</v>
      </c>
      <c r="I4">
        <v>10</v>
      </c>
      <c r="J4">
        <v>88</v>
      </c>
      <c r="K4">
        <v>2</v>
      </c>
      <c r="L4" s="1" t="s">
        <v>27</v>
      </c>
      <c r="M4">
        <v>8.0544792617321548</v>
      </c>
      <c r="N4" s="1" t="s">
        <v>39</v>
      </c>
      <c r="O4" s="1" t="s">
        <v>29</v>
      </c>
      <c r="P4">
        <v>12</v>
      </c>
      <c r="Q4">
        <v>971</v>
      </c>
      <c r="R4">
        <v>27</v>
      </c>
      <c r="S4">
        <v>30.688019348284204</v>
      </c>
      <c r="T4" s="1" t="s">
        <v>30</v>
      </c>
      <c r="U4">
        <v>4.580592619199229</v>
      </c>
      <c r="V4" s="1" t="s">
        <v>40</v>
      </c>
      <c r="W4" s="1" t="s">
        <v>41</v>
      </c>
      <c r="X4">
        <v>141.92028177151906</v>
      </c>
    </row>
    <row r="5" spans="1:24" x14ac:dyDescent="0.3">
      <c r="A5" s="1" t="s">
        <v>33</v>
      </c>
      <c r="B5" s="1" t="s">
        <v>42</v>
      </c>
      <c r="C5">
        <v>61.163343016437736</v>
      </c>
      <c r="D5">
        <v>68</v>
      </c>
      <c r="E5">
        <v>83</v>
      </c>
      <c r="F5">
        <v>7766.8364256852328</v>
      </c>
      <c r="G5" s="1" t="s">
        <v>26</v>
      </c>
      <c r="H5">
        <v>23</v>
      </c>
      <c r="I5">
        <v>13</v>
      </c>
      <c r="J5">
        <v>59</v>
      </c>
      <c r="K5">
        <v>6</v>
      </c>
      <c r="L5" s="1" t="s">
        <v>43</v>
      </c>
      <c r="M5">
        <v>1.7295685635434288</v>
      </c>
      <c r="N5" s="1" t="s">
        <v>44</v>
      </c>
      <c r="O5" s="1" t="s">
        <v>45</v>
      </c>
      <c r="P5">
        <v>24</v>
      </c>
      <c r="Q5">
        <v>937</v>
      </c>
      <c r="R5">
        <v>18</v>
      </c>
      <c r="S5">
        <v>35.624741397125028</v>
      </c>
      <c r="T5" s="1" t="s">
        <v>46</v>
      </c>
      <c r="U5">
        <v>4.7466486206477496</v>
      </c>
      <c r="V5" s="1" t="s">
        <v>47</v>
      </c>
      <c r="W5" s="1" t="s">
        <v>48</v>
      </c>
      <c r="X5">
        <v>254.77615921928663</v>
      </c>
    </row>
    <row r="6" spans="1:24" x14ac:dyDescent="0.3">
      <c r="A6" s="1" t="s">
        <v>33</v>
      </c>
      <c r="B6" s="1" t="s">
        <v>49</v>
      </c>
      <c r="C6">
        <v>4.8054960363458932</v>
      </c>
      <c r="D6">
        <v>26</v>
      </c>
      <c r="E6">
        <v>871</v>
      </c>
      <c r="F6">
        <v>2686.5051515674468</v>
      </c>
      <c r="G6" s="1" t="s">
        <v>26</v>
      </c>
      <c r="H6">
        <v>5</v>
      </c>
      <c r="I6">
        <v>3</v>
      </c>
      <c r="J6">
        <v>56</v>
      </c>
      <c r="K6">
        <v>8</v>
      </c>
      <c r="L6" s="1" t="s">
        <v>36</v>
      </c>
      <c r="M6">
        <v>3.8905479158706715</v>
      </c>
      <c r="N6" s="1" t="s">
        <v>39</v>
      </c>
      <c r="O6" s="1" t="s">
        <v>50</v>
      </c>
      <c r="P6">
        <v>5</v>
      </c>
      <c r="Q6">
        <v>414</v>
      </c>
      <c r="R6">
        <v>3</v>
      </c>
      <c r="S6">
        <v>92.065160598712851</v>
      </c>
      <c r="T6" s="1" t="s">
        <v>46</v>
      </c>
      <c r="U6">
        <v>3.1455795228330019</v>
      </c>
      <c r="V6" s="1" t="s">
        <v>40</v>
      </c>
      <c r="W6" s="1" t="s">
        <v>48</v>
      </c>
      <c r="X6">
        <v>923.44063171192215</v>
      </c>
    </row>
    <row r="7" spans="1:24" x14ac:dyDescent="0.3">
      <c r="A7" s="1" t="s">
        <v>24</v>
      </c>
      <c r="B7" s="1" t="s">
        <v>51</v>
      </c>
      <c r="C7">
        <v>1.6999760138659377</v>
      </c>
      <c r="D7">
        <v>87</v>
      </c>
      <c r="E7">
        <v>147</v>
      </c>
      <c r="F7">
        <v>2828.3487459757589</v>
      </c>
      <c r="G7" s="1" t="s">
        <v>26</v>
      </c>
      <c r="H7">
        <v>90</v>
      </c>
      <c r="I7">
        <v>27</v>
      </c>
      <c r="J7">
        <v>66</v>
      </c>
      <c r="K7">
        <v>3</v>
      </c>
      <c r="L7" s="1" t="s">
        <v>27</v>
      </c>
      <c r="M7">
        <v>4.4440988643822932</v>
      </c>
      <c r="N7" s="1" t="s">
        <v>52</v>
      </c>
      <c r="O7" s="1" t="s">
        <v>53</v>
      </c>
      <c r="P7">
        <v>10</v>
      </c>
      <c r="Q7">
        <v>104</v>
      </c>
      <c r="R7">
        <v>17</v>
      </c>
      <c r="S7">
        <v>56.766475557431797</v>
      </c>
      <c r="T7" s="1" t="s">
        <v>46</v>
      </c>
      <c r="U7">
        <v>2.7791935115711617</v>
      </c>
      <c r="V7" s="1" t="s">
        <v>31</v>
      </c>
      <c r="W7" s="1" t="s">
        <v>48</v>
      </c>
      <c r="X7">
        <v>235.46123673553751</v>
      </c>
    </row>
    <row r="8" spans="1:24" x14ac:dyDescent="0.3">
      <c r="A8" s="1" t="s">
        <v>33</v>
      </c>
      <c r="B8" s="1" t="s">
        <v>54</v>
      </c>
      <c r="C8">
        <v>4.0783328631079447</v>
      </c>
      <c r="D8">
        <v>48</v>
      </c>
      <c r="E8">
        <v>65</v>
      </c>
      <c r="F8">
        <v>7823.4765595317367</v>
      </c>
      <c r="G8" s="1" t="s">
        <v>55</v>
      </c>
      <c r="H8">
        <v>11</v>
      </c>
      <c r="I8">
        <v>15</v>
      </c>
      <c r="J8">
        <v>58</v>
      </c>
      <c r="K8">
        <v>8</v>
      </c>
      <c r="L8" s="1" t="s">
        <v>43</v>
      </c>
      <c r="M8">
        <v>3.8807633029520034</v>
      </c>
      <c r="N8" s="1" t="s">
        <v>28</v>
      </c>
      <c r="O8" s="1" t="s">
        <v>45</v>
      </c>
      <c r="P8">
        <v>14</v>
      </c>
      <c r="Q8">
        <v>314</v>
      </c>
      <c r="R8">
        <v>24</v>
      </c>
      <c r="S8">
        <v>1.0850685695870688</v>
      </c>
      <c r="T8" s="1" t="s">
        <v>30</v>
      </c>
      <c r="U8">
        <v>1.0009106193041357</v>
      </c>
      <c r="V8" s="1" t="s">
        <v>56</v>
      </c>
      <c r="W8" s="1" t="s">
        <v>48</v>
      </c>
      <c r="X8">
        <v>134.36909686103172</v>
      </c>
    </row>
    <row r="9" spans="1:24" x14ac:dyDescent="0.3">
      <c r="A9" s="1" t="s">
        <v>57</v>
      </c>
      <c r="B9" s="1" t="s">
        <v>58</v>
      </c>
      <c r="C9">
        <v>42.958384382460068</v>
      </c>
      <c r="D9">
        <v>59</v>
      </c>
      <c r="E9">
        <v>426</v>
      </c>
      <c r="F9">
        <v>8496.1038130898378</v>
      </c>
      <c r="G9" s="1" t="s">
        <v>35</v>
      </c>
      <c r="H9">
        <v>93</v>
      </c>
      <c r="I9">
        <v>17</v>
      </c>
      <c r="J9">
        <v>11</v>
      </c>
      <c r="K9">
        <v>1</v>
      </c>
      <c r="L9" s="1" t="s">
        <v>27</v>
      </c>
      <c r="M9">
        <v>2.3483387844177805</v>
      </c>
      <c r="N9" s="1" t="s">
        <v>52</v>
      </c>
      <c r="O9" s="1" t="s">
        <v>53</v>
      </c>
      <c r="P9">
        <v>22</v>
      </c>
      <c r="Q9">
        <v>564</v>
      </c>
      <c r="R9">
        <v>1</v>
      </c>
      <c r="S9">
        <v>99.466108603599125</v>
      </c>
      <c r="T9" s="1" t="s">
        <v>46</v>
      </c>
      <c r="U9">
        <v>0.39817718685065062</v>
      </c>
      <c r="V9" s="1" t="s">
        <v>31</v>
      </c>
      <c r="W9" s="1" t="s">
        <v>41</v>
      </c>
      <c r="X9">
        <v>802.05631181755859</v>
      </c>
    </row>
    <row r="10" spans="1:24" x14ac:dyDescent="0.3">
      <c r="A10" s="1" t="s">
        <v>57</v>
      </c>
      <c r="B10" s="1" t="s">
        <v>59</v>
      </c>
      <c r="C10">
        <v>68.717596748527328</v>
      </c>
      <c r="D10">
        <v>78</v>
      </c>
      <c r="E10">
        <v>150</v>
      </c>
      <c r="F10">
        <v>7517.363210631127</v>
      </c>
      <c r="G10" s="1" t="s">
        <v>35</v>
      </c>
      <c r="H10">
        <v>5</v>
      </c>
      <c r="I10">
        <v>10</v>
      </c>
      <c r="J10">
        <v>15</v>
      </c>
      <c r="K10">
        <v>7</v>
      </c>
      <c r="L10" s="1" t="s">
        <v>43</v>
      </c>
      <c r="M10">
        <v>3.4047338570830266</v>
      </c>
      <c r="N10" s="1" t="s">
        <v>52</v>
      </c>
      <c r="O10" s="1" t="s">
        <v>29</v>
      </c>
      <c r="P10">
        <v>13</v>
      </c>
      <c r="Q10">
        <v>769</v>
      </c>
      <c r="R10">
        <v>8</v>
      </c>
      <c r="S10">
        <v>11.423027139565695</v>
      </c>
      <c r="T10" s="1" t="s">
        <v>30</v>
      </c>
      <c r="U10">
        <v>2.7098626911099615</v>
      </c>
      <c r="V10" s="1" t="s">
        <v>56</v>
      </c>
      <c r="W10" s="1" t="s">
        <v>32</v>
      </c>
      <c r="X10">
        <v>505.55713422546415</v>
      </c>
    </row>
    <row r="11" spans="1:24" x14ac:dyDescent="0.3">
      <c r="A11" s="1" t="s">
        <v>33</v>
      </c>
      <c r="B11" s="1" t="s">
        <v>60</v>
      </c>
      <c r="C11">
        <v>64.015732941278543</v>
      </c>
      <c r="D11">
        <v>35</v>
      </c>
      <c r="E11">
        <v>980</v>
      </c>
      <c r="F11">
        <v>4971.145987585558</v>
      </c>
      <c r="G11" s="1" t="s">
        <v>38</v>
      </c>
      <c r="H11">
        <v>14</v>
      </c>
      <c r="I11">
        <v>27</v>
      </c>
      <c r="J11">
        <v>83</v>
      </c>
      <c r="K11">
        <v>1</v>
      </c>
      <c r="L11" s="1" t="s">
        <v>36</v>
      </c>
      <c r="M11">
        <v>7.1666452910482157</v>
      </c>
      <c r="N11" s="1" t="s">
        <v>61</v>
      </c>
      <c r="O11" s="1" t="s">
        <v>62</v>
      </c>
      <c r="P11">
        <v>29</v>
      </c>
      <c r="Q11">
        <v>963</v>
      </c>
      <c r="R11">
        <v>23</v>
      </c>
      <c r="S11">
        <v>47.95760163495158</v>
      </c>
      <c r="T11" s="1" t="s">
        <v>30</v>
      </c>
      <c r="U11">
        <v>3.8446144787675851</v>
      </c>
      <c r="V11" s="1" t="s">
        <v>47</v>
      </c>
      <c r="W11" s="1" t="s">
        <v>32</v>
      </c>
      <c r="X11">
        <v>995.92946149864167</v>
      </c>
    </row>
    <row r="12" spans="1:24" x14ac:dyDescent="0.3">
      <c r="A12" s="1" t="s">
        <v>33</v>
      </c>
      <c r="B12" s="1" t="s">
        <v>63</v>
      </c>
      <c r="C12">
        <v>15.707795681912138</v>
      </c>
      <c r="D12">
        <v>11</v>
      </c>
      <c r="E12">
        <v>996</v>
      </c>
      <c r="F12">
        <v>2330.9658020919492</v>
      </c>
      <c r="G12" s="1" t="s">
        <v>26</v>
      </c>
      <c r="H12">
        <v>51</v>
      </c>
      <c r="I12">
        <v>13</v>
      </c>
      <c r="J12">
        <v>80</v>
      </c>
      <c r="K12">
        <v>2</v>
      </c>
      <c r="L12" s="1" t="s">
        <v>43</v>
      </c>
      <c r="M12">
        <v>8.6732112112786126</v>
      </c>
      <c r="N12" s="1" t="s">
        <v>44</v>
      </c>
      <c r="O12" s="1" t="s">
        <v>45</v>
      </c>
      <c r="P12">
        <v>18</v>
      </c>
      <c r="Q12">
        <v>830</v>
      </c>
      <c r="R12">
        <v>5</v>
      </c>
      <c r="S12">
        <v>96.52735278531091</v>
      </c>
      <c r="T12" s="1" t="s">
        <v>64</v>
      </c>
      <c r="U12">
        <v>1.7273139283559424</v>
      </c>
      <c r="V12" s="1" t="s">
        <v>31</v>
      </c>
      <c r="W12" s="1" t="s">
        <v>32</v>
      </c>
      <c r="X12">
        <v>806.10317770292295</v>
      </c>
    </row>
    <row r="13" spans="1:24" x14ac:dyDescent="0.3">
      <c r="A13" s="1" t="s">
        <v>33</v>
      </c>
      <c r="B13" s="1" t="s">
        <v>65</v>
      </c>
      <c r="C13">
        <v>90.635459982288666</v>
      </c>
      <c r="D13">
        <v>95</v>
      </c>
      <c r="E13">
        <v>960</v>
      </c>
      <c r="F13">
        <v>6099.944115581452</v>
      </c>
      <c r="G13" s="1" t="s">
        <v>35</v>
      </c>
      <c r="H13">
        <v>46</v>
      </c>
      <c r="I13">
        <v>23</v>
      </c>
      <c r="J13">
        <v>60</v>
      </c>
      <c r="K13">
        <v>1</v>
      </c>
      <c r="L13" s="1" t="s">
        <v>36</v>
      </c>
      <c r="M13">
        <v>4.5239431243166628</v>
      </c>
      <c r="N13" s="1" t="s">
        <v>61</v>
      </c>
      <c r="O13" s="1" t="s">
        <v>45</v>
      </c>
      <c r="P13">
        <v>28</v>
      </c>
      <c r="Q13">
        <v>362</v>
      </c>
      <c r="R13">
        <v>11</v>
      </c>
      <c r="S13">
        <v>27.592363086663696</v>
      </c>
      <c r="T13" s="1" t="s">
        <v>30</v>
      </c>
      <c r="U13">
        <v>2.1169821372994391E-2</v>
      </c>
      <c r="V13" s="1" t="s">
        <v>40</v>
      </c>
      <c r="W13" s="1" t="s">
        <v>48</v>
      </c>
      <c r="X13">
        <v>126.72303340940725</v>
      </c>
    </row>
    <row r="14" spans="1:24" x14ac:dyDescent="0.3">
      <c r="A14" s="1" t="s">
        <v>24</v>
      </c>
      <c r="B14" s="1" t="s">
        <v>66</v>
      </c>
      <c r="C14">
        <v>71.213389075360084</v>
      </c>
      <c r="D14">
        <v>41</v>
      </c>
      <c r="E14">
        <v>336</v>
      </c>
      <c r="F14">
        <v>2873.7414460214413</v>
      </c>
      <c r="G14" s="1" t="s">
        <v>38</v>
      </c>
      <c r="H14">
        <v>100</v>
      </c>
      <c r="I14">
        <v>30</v>
      </c>
      <c r="J14">
        <v>85</v>
      </c>
      <c r="K14">
        <v>4</v>
      </c>
      <c r="L14" s="1" t="s">
        <v>36</v>
      </c>
      <c r="M14">
        <v>1.325274010184522</v>
      </c>
      <c r="N14" s="1" t="s">
        <v>52</v>
      </c>
      <c r="O14" s="1" t="s">
        <v>45</v>
      </c>
      <c r="P14">
        <v>3</v>
      </c>
      <c r="Q14">
        <v>563</v>
      </c>
      <c r="R14">
        <v>3</v>
      </c>
      <c r="S14">
        <v>32.321286213424031</v>
      </c>
      <c r="T14" s="1" t="s">
        <v>46</v>
      </c>
      <c r="U14">
        <v>2.1612537475559117</v>
      </c>
      <c r="V14" s="1" t="s">
        <v>31</v>
      </c>
      <c r="W14" s="1" t="s">
        <v>32</v>
      </c>
      <c r="X14">
        <v>402.96878907377061</v>
      </c>
    </row>
    <row r="15" spans="1:24" x14ac:dyDescent="0.3">
      <c r="A15" s="1" t="s">
        <v>33</v>
      </c>
      <c r="B15" s="1" t="s">
        <v>67</v>
      </c>
      <c r="C15">
        <v>16.160393317379977</v>
      </c>
      <c r="D15">
        <v>5</v>
      </c>
      <c r="E15">
        <v>249</v>
      </c>
      <c r="F15">
        <v>4052.7384162378667</v>
      </c>
      <c r="G15" s="1" t="s">
        <v>55</v>
      </c>
      <c r="H15">
        <v>80</v>
      </c>
      <c r="I15">
        <v>8</v>
      </c>
      <c r="J15">
        <v>48</v>
      </c>
      <c r="K15">
        <v>9</v>
      </c>
      <c r="L15" s="1" t="s">
        <v>36</v>
      </c>
      <c r="M15">
        <v>9.5372830611083383</v>
      </c>
      <c r="N15" s="1" t="s">
        <v>44</v>
      </c>
      <c r="O15" s="1" t="s">
        <v>53</v>
      </c>
      <c r="P15">
        <v>23</v>
      </c>
      <c r="Q15">
        <v>173</v>
      </c>
      <c r="R15">
        <v>10</v>
      </c>
      <c r="S15">
        <v>97.82905011017327</v>
      </c>
      <c r="T15" s="1" t="s">
        <v>30</v>
      </c>
      <c r="U15">
        <v>1.6310742300715386</v>
      </c>
      <c r="V15" s="1" t="s">
        <v>31</v>
      </c>
      <c r="W15" s="1" t="s">
        <v>32</v>
      </c>
      <c r="X15">
        <v>547.24100516096848</v>
      </c>
    </row>
    <row r="16" spans="1:24" x14ac:dyDescent="0.3">
      <c r="A16" s="1" t="s">
        <v>33</v>
      </c>
      <c r="B16" s="1" t="s">
        <v>68</v>
      </c>
      <c r="C16">
        <v>99.171328638624189</v>
      </c>
      <c r="D16">
        <v>26</v>
      </c>
      <c r="E16">
        <v>562</v>
      </c>
      <c r="F16">
        <v>8653.5709264698016</v>
      </c>
      <c r="G16" s="1" t="s">
        <v>26</v>
      </c>
      <c r="H16">
        <v>54</v>
      </c>
      <c r="I16">
        <v>29</v>
      </c>
      <c r="J16">
        <v>78</v>
      </c>
      <c r="K16">
        <v>5</v>
      </c>
      <c r="L16" s="1" t="s">
        <v>27</v>
      </c>
      <c r="M16">
        <v>2.0397701894493316</v>
      </c>
      <c r="N16" s="1" t="s">
        <v>39</v>
      </c>
      <c r="O16" s="1" t="s">
        <v>45</v>
      </c>
      <c r="P16">
        <v>25</v>
      </c>
      <c r="Q16">
        <v>558</v>
      </c>
      <c r="R16">
        <v>14</v>
      </c>
      <c r="S16">
        <v>5.7914366298629893</v>
      </c>
      <c r="T16" s="1" t="s">
        <v>30</v>
      </c>
      <c r="U16">
        <v>0.10068285156509371</v>
      </c>
      <c r="V16" s="1" t="s">
        <v>40</v>
      </c>
      <c r="W16" s="1" t="s">
        <v>32</v>
      </c>
      <c r="X16">
        <v>929.23528996088965</v>
      </c>
    </row>
    <row r="17" spans="1:24" x14ac:dyDescent="0.3">
      <c r="A17" s="1" t="s">
        <v>33</v>
      </c>
      <c r="B17" s="1" t="s">
        <v>69</v>
      </c>
      <c r="C17">
        <v>36.98924492862691</v>
      </c>
      <c r="D17">
        <v>94</v>
      </c>
      <c r="E17">
        <v>469</v>
      </c>
      <c r="F17">
        <v>5442.0867853976733</v>
      </c>
      <c r="G17" s="1" t="s">
        <v>26</v>
      </c>
      <c r="H17">
        <v>9</v>
      </c>
      <c r="I17">
        <v>8</v>
      </c>
      <c r="J17">
        <v>69</v>
      </c>
      <c r="K17">
        <v>7</v>
      </c>
      <c r="L17" s="1" t="s">
        <v>27</v>
      </c>
      <c r="M17">
        <v>2.4220397232752044</v>
      </c>
      <c r="N17" s="1" t="s">
        <v>39</v>
      </c>
      <c r="O17" s="1" t="s">
        <v>53</v>
      </c>
      <c r="P17">
        <v>14</v>
      </c>
      <c r="Q17">
        <v>580</v>
      </c>
      <c r="R17">
        <v>7</v>
      </c>
      <c r="S17">
        <v>97.121281751474314</v>
      </c>
      <c r="T17" s="1" t="s">
        <v>64</v>
      </c>
      <c r="U17">
        <v>2.2644057611985491</v>
      </c>
      <c r="V17" s="1" t="s">
        <v>56</v>
      </c>
      <c r="W17" s="1" t="s">
        <v>32</v>
      </c>
      <c r="X17">
        <v>127.86180000162541</v>
      </c>
    </row>
    <row r="18" spans="1:24" x14ac:dyDescent="0.3">
      <c r="A18" s="1" t="s">
        <v>33</v>
      </c>
      <c r="B18" s="1" t="s">
        <v>70</v>
      </c>
      <c r="C18">
        <v>7.5471721097912718</v>
      </c>
      <c r="D18">
        <v>74</v>
      </c>
      <c r="E18">
        <v>280</v>
      </c>
      <c r="F18">
        <v>6453.7979681762854</v>
      </c>
      <c r="G18" s="1" t="s">
        <v>35</v>
      </c>
      <c r="H18">
        <v>2</v>
      </c>
      <c r="I18">
        <v>5</v>
      </c>
      <c r="J18">
        <v>78</v>
      </c>
      <c r="K18">
        <v>1</v>
      </c>
      <c r="L18" s="1" t="s">
        <v>27</v>
      </c>
      <c r="M18">
        <v>4.1913245857055017</v>
      </c>
      <c r="N18" s="1" t="s">
        <v>39</v>
      </c>
      <c r="O18" s="1" t="s">
        <v>53</v>
      </c>
      <c r="P18">
        <v>3</v>
      </c>
      <c r="Q18">
        <v>399</v>
      </c>
      <c r="R18">
        <v>21</v>
      </c>
      <c r="S18">
        <v>77.106342497850008</v>
      </c>
      <c r="T18" s="1" t="s">
        <v>64</v>
      </c>
      <c r="U18">
        <v>1.0125630892580491</v>
      </c>
      <c r="V18" s="1" t="s">
        <v>40</v>
      </c>
      <c r="W18" s="1" t="s">
        <v>48</v>
      </c>
      <c r="X18">
        <v>865.52577977124031</v>
      </c>
    </row>
    <row r="19" spans="1:24" x14ac:dyDescent="0.3">
      <c r="A19" s="1" t="s">
        <v>57</v>
      </c>
      <c r="B19" s="1" t="s">
        <v>71</v>
      </c>
      <c r="C19">
        <v>81.462534369237019</v>
      </c>
      <c r="D19">
        <v>82</v>
      </c>
      <c r="E19">
        <v>126</v>
      </c>
      <c r="F19">
        <v>2629.3964348452619</v>
      </c>
      <c r="G19" s="1" t="s">
        <v>35</v>
      </c>
      <c r="H19">
        <v>45</v>
      </c>
      <c r="I19">
        <v>17</v>
      </c>
      <c r="J19">
        <v>85</v>
      </c>
      <c r="K19">
        <v>9</v>
      </c>
      <c r="L19" s="1" t="s">
        <v>43</v>
      </c>
      <c r="M19">
        <v>3.5854189582323421</v>
      </c>
      <c r="N19" s="1" t="s">
        <v>39</v>
      </c>
      <c r="O19" s="1" t="s">
        <v>62</v>
      </c>
      <c r="P19">
        <v>7</v>
      </c>
      <c r="Q19">
        <v>453</v>
      </c>
      <c r="R19">
        <v>16</v>
      </c>
      <c r="S19">
        <v>47.679680368355335</v>
      </c>
      <c r="T19" s="1" t="s">
        <v>46</v>
      </c>
      <c r="U19">
        <v>0.10202075491817619</v>
      </c>
      <c r="V19" s="1" t="s">
        <v>40</v>
      </c>
      <c r="W19" s="1" t="s">
        <v>41</v>
      </c>
      <c r="X19">
        <v>670.93439079241034</v>
      </c>
    </row>
    <row r="20" spans="1:24" x14ac:dyDescent="0.3">
      <c r="A20" s="1" t="s">
        <v>24</v>
      </c>
      <c r="B20" s="1" t="s">
        <v>72</v>
      </c>
      <c r="C20">
        <v>36.443627770460935</v>
      </c>
      <c r="D20">
        <v>23</v>
      </c>
      <c r="E20">
        <v>620</v>
      </c>
      <c r="F20">
        <v>9364.6735050761727</v>
      </c>
      <c r="G20" s="1" t="s">
        <v>38</v>
      </c>
      <c r="H20">
        <v>10</v>
      </c>
      <c r="I20">
        <v>10</v>
      </c>
      <c r="J20">
        <v>46</v>
      </c>
      <c r="K20">
        <v>8</v>
      </c>
      <c r="L20" s="1" t="s">
        <v>43</v>
      </c>
      <c r="M20">
        <v>4.339224714110709</v>
      </c>
      <c r="N20" s="1" t="s">
        <v>61</v>
      </c>
      <c r="O20" s="1" t="s">
        <v>45</v>
      </c>
      <c r="P20">
        <v>18</v>
      </c>
      <c r="Q20">
        <v>374</v>
      </c>
      <c r="R20">
        <v>17</v>
      </c>
      <c r="S20">
        <v>27.10798085484392</v>
      </c>
      <c r="T20" s="1" t="s">
        <v>30</v>
      </c>
      <c r="U20">
        <v>2.2319391107292637</v>
      </c>
      <c r="V20" s="1" t="s">
        <v>56</v>
      </c>
      <c r="W20" s="1" t="s">
        <v>48</v>
      </c>
      <c r="X20">
        <v>593.48025872065182</v>
      </c>
    </row>
    <row r="21" spans="1:24" x14ac:dyDescent="0.3">
      <c r="A21" s="1" t="s">
        <v>33</v>
      </c>
      <c r="B21" s="1" t="s">
        <v>73</v>
      </c>
      <c r="C21">
        <v>51.12387008796474</v>
      </c>
      <c r="D21">
        <v>100</v>
      </c>
      <c r="E21">
        <v>187</v>
      </c>
      <c r="F21">
        <v>2553.4955849912149</v>
      </c>
      <c r="G21" s="1" t="s">
        <v>38</v>
      </c>
      <c r="H21">
        <v>48</v>
      </c>
      <c r="I21">
        <v>11</v>
      </c>
      <c r="J21">
        <v>94</v>
      </c>
      <c r="K21">
        <v>3</v>
      </c>
      <c r="L21" s="1" t="s">
        <v>36</v>
      </c>
      <c r="M21">
        <v>4.7426358828418769</v>
      </c>
      <c r="N21" s="1" t="s">
        <v>52</v>
      </c>
      <c r="O21" s="1" t="s">
        <v>62</v>
      </c>
      <c r="P21">
        <v>20</v>
      </c>
      <c r="Q21">
        <v>694</v>
      </c>
      <c r="R21">
        <v>16</v>
      </c>
      <c r="S21">
        <v>82.373320587990207</v>
      </c>
      <c r="T21" s="1" t="s">
        <v>46</v>
      </c>
      <c r="U21">
        <v>3.6464508654170293</v>
      </c>
      <c r="V21" s="1" t="s">
        <v>31</v>
      </c>
      <c r="W21" s="1" t="s">
        <v>41</v>
      </c>
      <c r="X21">
        <v>477.30763109090344</v>
      </c>
    </row>
    <row r="22" spans="1:24" x14ac:dyDescent="0.3">
      <c r="A22" s="1" t="s">
        <v>33</v>
      </c>
      <c r="B22" s="1" t="s">
        <v>74</v>
      </c>
      <c r="C22">
        <v>96.341072439963384</v>
      </c>
      <c r="D22">
        <v>22</v>
      </c>
      <c r="E22">
        <v>320</v>
      </c>
      <c r="F22">
        <v>8128.0276968511916</v>
      </c>
      <c r="G22" s="1" t="s">
        <v>38</v>
      </c>
      <c r="H22">
        <v>27</v>
      </c>
      <c r="I22">
        <v>12</v>
      </c>
      <c r="J22">
        <v>68</v>
      </c>
      <c r="K22">
        <v>6</v>
      </c>
      <c r="L22" s="1" t="s">
        <v>36</v>
      </c>
      <c r="M22">
        <v>8.8783346509268402</v>
      </c>
      <c r="N22" s="1" t="s">
        <v>39</v>
      </c>
      <c r="O22" s="1" t="s">
        <v>62</v>
      </c>
      <c r="P22">
        <v>29</v>
      </c>
      <c r="Q22">
        <v>309</v>
      </c>
      <c r="R22">
        <v>6</v>
      </c>
      <c r="S22">
        <v>65.686259608488626</v>
      </c>
      <c r="T22" s="1" t="s">
        <v>64</v>
      </c>
      <c r="U22">
        <v>4.2314165735345393</v>
      </c>
      <c r="V22" s="1" t="s">
        <v>40</v>
      </c>
      <c r="W22" s="1" t="s">
        <v>32</v>
      </c>
      <c r="X22">
        <v>493.87121531620585</v>
      </c>
    </row>
    <row r="23" spans="1:24" x14ac:dyDescent="0.3">
      <c r="A23" s="1" t="s">
        <v>57</v>
      </c>
      <c r="B23" s="1" t="s">
        <v>75</v>
      </c>
      <c r="C23">
        <v>84.893868984950828</v>
      </c>
      <c r="D23">
        <v>60</v>
      </c>
      <c r="E23">
        <v>601</v>
      </c>
      <c r="F23">
        <v>7087.0526963574366</v>
      </c>
      <c r="G23" s="1" t="s">
        <v>38</v>
      </c>
      <c r="H23">
        <v>69</v>
      </c>
      <c r="I23">
        <v>25</v>
      </c>
      <c r="J23">
        <v>7</v>
      </c>
      <c r="K23">
        <v>6</v>
      </c>
      <c r="L23" s="1" t="s">
        <v>27</v>
      </c>
      <c r="M23">
        <v>6.0378837692182978</v>
      </c>
      <c r="N23" s="1" t="s">
        <v>44</v>
      </c>
      <c r="O23" s="1" t="s">
        <v>62</v>
      </c>
      <c r="P23">
        <v>19</v>
      </c>
      <c r="Q23">
        <v>791</v>
      </c>
      <c r="R23">
        <v>4</v>
      </c>
      <c r="S23">
        <v>61.735728954160933</v>
      </c>
      <c r="T23" s="1" t="s">
        <v>30</v>
      </c>
      <c r="U23">
        <v>1.8607567631014899E-2</v>
      </c>
      <c r="V23" s="1" t="s">
        <v>40</v>
      </c>
      <c r="W23" s="1" t="s">
        <v>41</v>
      </c>
      <c r="X23">
        <v>523.36091472015801</v>
      </c>
    </row>
    <row r="24" spans="1:24" x14ac:dyDescent="0.3">
      <c r="A24" s="1" t="s">
        <v>24</v>
      </c>
      <c r="B24" s="1" t="s">
        <v>76</v>
      </c>
      <c r="C24">
        <v>27.679780886501959</v>
      </c>
      <c r="D24">
        <v>55</v>
      </c>
      <c r="E24">
        <v>884</v>
      </c>
      <c r="F24">
        <v>2390.8078665561734</v>
      </c>
      <c r="G24" s="1" t="s">
        <v>38</v>
      </c>
      <c r="H24">
        <v>71</v>
      </c>
      <c r="I24">
        <v>1</v>
      </c>
      <c r="J24">
        <v>63</v>
      </c>
      <c r="K24">
        <v>10</v>
      </c>
      <c r="L24" s="1" t="s">
        <v>36</v>
      </c>
      <c r="M24">
        <v>9.5676489209230393</v>
      </c>
      <c r="N24" s="1" t="s">
        <v>52</v>
      </c>
      <c r="O24" s="1" t="s">
        <v>45</v>
      </c>
      <c r="P24">
        <v>22</v>
      </c>
      <c r="Q24">
        <v>780</v>
      </c>
      <c r="R24">
        <v>28</v>
      </c>
      <c r="S24">
        <v>50.120839612977349</v>
      </c>
      <c r="T24" s="1" t="s">
        <v>46</v>
      </c>
      <c r="U24">
        <v>2.5912754732111161</v>
      </c>
      <c r="V24" s="1" t="s">
        <v>47</v>
      </c>
      <c r="W24" s="1" t="s">
        <v>41</v>
      </c>
      <c r="X24">
        <v>205.57199582694707</v>
      </c>
    </row>
    <row r="25" spans="1:24" x14ac:dyDescent="0.3">
      <c r="A25" s="1" t="s">
        <v>57</v>
      </c>
      <c r="B25" s="1" t="s">
        <v>77</v>
      </c>
      <c r="C25">
        <v>4.3243411858641636</v>
      </c>
      <c r="D25">
        <v>30</v>
      </c>
      <c r="E25">
        <v>391</v>
      </c>
      <c r="F25">
        <v>8858.367571011484</v>
      </c>
      <c r="G25" s="1" t="s">
        <v>38</v>
      </c>
      <c r="H25">
        <v>84</v>
      </c>
      <c r="I25">
        <v>5</v>
      </c>
      <c r="J25">
        <v>29</v>
      </c>
      <c r="K25">
        <v>7</v>
      </c>
      <c r="L25" s="1" t="s">
        <v>36</v>
      </c>
      <c r="M25">
        <v>2.924857601145554</v>
      </c>
      <c r="N25" s="1" t="s">
        <v>44</v>
      </c>
      <c r="O25" s="1" t="s">
        <v>45</v>
      </c>
      <c r="P25">
        <v>11</v>
      </c>
      <c r="Q25">
        <v>568</v>
      </c>
      <c r="R25">
        <v>29</v>
      </c>
      <c r="S25">
        <v>98.609957242703871</v>
      </c>
      <c r="T25" s="1" t="s">
        <v>30</v>
      </c>
      <c r="U25">
        <v>1.3422915627227339</v>
      </c>
      <c r="V25" s="1" t="s">
        <v>47</v>
      </c>
      <c r="W25" s="1" t="s">
        <v>48</v>
      </c>
      <c r="X25">
        <v>196.32944611241268</v>
      </c>
    </row>
    <row r="26" spans="1:24" x14ac:dyDescent="0.3">
      <c r="A26" s="1" t="s">
        <v>24</v>
      </c>
      <c r="B26" s="1" t="s">
        <v>78</v>
      </c>
      <c r="C26">
        <v>4.1563083593111081</v>
      </c>
      <c r="D26">
        <v>32</v>
      </c>
      <c r="E26">
        <v>209</v>
      </c>
      <c r="F26">
        <v>9049.0778609398967</v>
      </c>
      <c r="G26" s="1" t="s">
        <v>55</v>
      </c>
      <c r="H26">
        <v>4</v>
      </c>
      <c r="I26">
        <v>26</v>
      </c>
      <c r="J26">
        <v>2</v>
      </c>
      <c r="K26">
        <v>8</v>
      </c>
      <c r="L26" s="1" t="s">
        <v>43</v>
      </c>
      <c r="M26">
        <v>9.7412916892843686</v>
      </c>
      <c r="N26" s="1" t="s">
        <v>61</v>
      </c>
      <c r="O26" s="1" t="s">
        <v>53</v>
      </c>
      <c r="P26">
        <v>28</v>
      </c>
      <c r="Q26">
        <v>447</v>
      </c>
      <c r="R26">
        <v>3</v>
      </c>
      <c r="S26">
        <v>40.382359702924816</v>
      </c>
      <c r="T26" s="1" t="s">
        <v>30</v>
      </c>
      <c r="U26">
        <v>3.691310292628728</v>
      </c>
      <c r="V26" s="1" t="s">
        <v>40</v>
      </c>
      <c r="W26" s="1" t="s">
        <v>48</v>
      </c>
      <c r="X26">
        <v>758.72477260293829</v>
      </c>
    </row>
    <row r="27" spans="1:24" x14ac:dyDescent="0.3">
      <c r="A27" s="1" t="s">
        <v>24</v>
      </c>
      <c r="B27" s="1" t="s">
        <v>79</v>
      </c>
      <c r="C27">
        <v>39.629343985092625</v>
      </c>
      <c r="D27">
        <v>73</v>
      </c>
      <c r="E27">
        <v>142</v>
      </c>
      <c r="F27">
        <v>2174.777054350654</v>
      </c>
      <c r="G27" s="1" t="s">
        <v>55</v>
      </c>
      <c r="H27">
        <v>82</v>
      </c>
      <c r="I27">
        <v>11</v>
      </c>
      <c r="J27">
        <v>52</v>
      </c>
      <c r="K27">
        <v>3</v>
      </c>
      <c r="L27" s="1" t="s">
        <v>43</v>
      </c>
      <c r="M27">
        <v>2.2310736812817278</v>
      </c>
      <c r="N27" s="1" t="s">
        <v>52</v>
      </c>
      <c r="O27" s="1" t="s">
        <v>45</v>
      </c>
      <c r="P27">
        <v>19</v>
      </c>
      <c r="Q27">
        <v>934</v>
      </c>
      <c r="R27">
        <v>23</v>
      </c>
      <c r="S27">
        <v>78.280383118415386</v>
      </c>
      <c r="T27" s="1" t="s">
        <v>30</v>
      </c>
      <c r="U27">
        <v>3.7972312171141831</v>
      </c>
      <c r="V27" s="1" t="s">
        <v>31</v>
      </c>
      <c r="W27" s="1" t="s">
        <v>32</v>
      </c>
      <c r="X27">
        <v>458.53594573920907</v>
      </c>
    </row>
    <row r="28" spans="1:24" x14ac:dyDescent="0.3">
      <c r="A28" s="1" t="s">
        <v>24</v>
      </c>
      <c r="B28" s="1" t="s">
        <v>80</v>
      </c>
      <c r="C28">
        <v>97.44694661789282</v>
      </c>
      <c r="D28">
        <v>9</v>
      </c>
      <c r="E28">
        <v>353</v>
      </c>
      <c r="F28">
        <v>3716.4933258940368</v>
      </c>
      <c r="G28" s="1" t="s">
        <v>55</v>
      </c>
      <c r="H28">
        <v>59</v>
      </c>
      <c r="I28">
        <v>16</v>
      </c>
      <c r="J28">
        <v>48</v>
      </c>
      <c r="K28">
        <v>4</v>
      </c>
      <c r="L28" s="1" t="s">
        <v>27</v>
      </c>
      <c r="M28">
        <v>6.5075486210785511</v>
      </c>
      <c r="N28" s="1" t="s">
        <v>61</v>
      </c>
      <c r="O28" s="1" t="s">
        <v>53</v>
      </c>
      <c r="P28">
        <v>26</v>
      </c>
      <c r="Q28">
        <v>171</v>
      </c>
      <c r="R28">
        <v>4</v>
      </c>
      <c r="S28">
        <v>15.972229757181761</v>
      </c>
      <c r="T28" s="1" t="s">
        <v>64</v>
      </c>
      <c r="U28">
        <v>2.1193197367249228</v>
      </c>
      <c r="V28" s="1" t="s">
        <v>47</v>
      </c>
      <c r="W28" s="1" t="s">
        <v>48</v>
      </c>
      <c r="X28">
        <v>617.8669164583772</v>
      </c>
    </row>
    <row r="29" spans="1:24" x14ac:dyDescent="0.3">
      <c r="A29" s="1" t="s">
        <v>57</v>
      </c>
      <c r="B29" s="1" t="s">
        <v>81</v>
      </c>
      <c r="C29">
        <v>92.557360812402024</v>
      </c>
      <c r="D29">
        <v>42</v>
      </c>
      <c r="E29">
        <v>352</v>
      </c>
      <c r="F29">
        <v>2686.4572235759833</v>
      </c>
      <c r="G29" s="1" t="s">
        <v>38</v>
      </c>
      <c r="H29">
        <v>47</v>
      </c>
      <c r="I29">
        <v>9</v>
      </c>
      <c r="J29">
        <v>62</v>
      </c>
      <c r="K29">
        <v>8</v>
      </c>
      <c r="L29" s="1" t="s">
        <v>43</v>
      </c>
      <c r="M29">
        <v>7.406750952998074</v>
      </c>
      <c r="N29" s="1" t="s">
        <v>44</v>
      </c>
      <c r="O29" s="1" t="s">
        <v>29</v>
      </c>
      <c r="P29">
        <v>25</v>
      </c>
      <c r="Q29">
        <v>291</v>
      </c>
      <c r="R29">
        <v>4</v>
      </c>
      <c r="S29">
        <v>10.528245070042162</v>
      </c>
      <c r="T29" s="1" t="s">
        <v>46</v>
      </c>
      <c r="U29">
        <v>2.8646678378833732</v>
      </c>
      <c r="V29" s="1" t="s">
        <v>56</v>
      </c>
      <c r="W29" s="1" t="s">
        <v>32</v>
      </c>
      <c r="X29">
        <v>762.45918215568372</v>
      </c>
    </row>
    <row r="30" spans="1:24" x14ac:dyDescent="0.3">
      <c r="A30" s="1" t="s">
        <v>57</v>
      </c>
      <c r="B30" s="1" t="s">
        <v>82</v>
      </c>
      <c r="C30">
        <v>2.3972747055971411</v>
      </c>
      <c r="D30">
        <v>12</v>
      </c>
      <c r="E30">
        <v>394</v>
      </c>
      <c r="F30">
        <v>6117.3246150839923</v>
      </c>
      <c r="G30" s="1" t="s">
        <v>35</v>
      </c>
      <c r="H30">
        <v>48</v>
      </c>
      <c r="I30">
        <v>15</v>
      </c>
      <c r="J30">
        <v>24</v>
      </c>
      <c r="K30">
        <v>4</v>
      </c>
      <c r="L30" s="1" t="s">
        <v>27</v>
      </c>
      <c r="M30">
        <v>9.898140508069222</v>
      </c>
      <c r="N30" s="1" t="s">
        <v>39</v>
      </c>
      <c r="O30" s="1" t="s">
        <v>29</v>
      </c>
      <c r="P30">
        <v>13</v>
      </c>
      <c r="Q30">
        <v>171</v>
      </c>
      <c r="R30">
        <v>7</v>
      </c>
      <c r="S30">
        <v>59.429381810691567</v>
      </c>
      <c r="T30" s="1" t="s">
        <v>46</v>
      </c>
      <c r="U30">
        <v>0.81575707929567198</v>
      </c>
      <c r="V30" s="1" t="s">
        <v>40</v>
      </c>
      <c r="W30" s="1" t="s">
        <v>48</v>
      </c>
      <c r="X30">
        <v>123.43702751182708</v>
      </c>
    </row>
    <row r="31" spans="1:24" x14ac:dyDescent="0.3">
      <c r="A31" s="1" t="s">
        <v>57</v>
      </c>
      <c r="B31" s="1" t="s">
        <v>83</v>
      </c>
      <c r="C31">
        <v>63.447559185207332</v>
      </c>
      <c r="D31">
        <v>3</v>
      </c>
      <c r="E31">
        <v>253</v>
      </c>
      <c r="F31">
        <v>8318.9031946171781</v>
      </c>
      <c r="G31" s="1" t="s">
        <v>35</v>
      </c>
      <c r="H31">
        <v>45</v>
      </c>
      <c r="I31">
        <v>5</v>
      </c>
      <c r="J31">
        <v>67</v>
      </c>
      <c r="K31">
        <v>7</v>
      </c>
      <c r="L31" s="1" t="s">
        <v>27</v>
      </c>
      <c r="M31">
        <v>8.1009731453970311</v>
      </c>
      <c r="N31" s="1" t="s">
        <v>39</v>
      </c>
      <c r="O31" s="1" t="s">
        <v>45</v>
      </c>
      <c r="P31">
        <v>16</v>
      </c>
      <c r="Q31">
        <v>329</v>
      </c>
      <c r="R31">
        <v>7</v>
      </c>
      <c r="S31">
        <v>39.292875586065747</v>
      </c>
      <c r="T31" s="1" t="s">
        <v>64</v>
      </c>
      <c r="U31">
        <v>3.8780989365884881</v>
      </c>
      <c r="V31" s="1" t="s">
        <v>31</v>
      </c>
      <c r="W31" s="1" t="s">
        <v>32</v>
      </c>
      <c r="X31">
        <v>764.93537594070813</v>
      </c>
    </row>
    <row r="32" spans="1:24" x14ac:dyDescent="0.3">
      <c r="A32" s="1" t="s">
        <v>24</v>
      </c>
      <c r="B32" s="1" t="s">
        <v>84</v>
      </c>
      <c r="C32">
        <v>8.0228592105263932</v>
      </c>
      <c r="D32">
        <v>10</v>
      </c>
      <c r="E32">
        <v>327</v>
      </c>
      <c r="F32">
        <v>2766.3423668660889</v>
      </c>
      <c r="G32" s="1" t="s">
        <v>55</v>
      </c>
      <c r="H32">
        <v>60</v>
      </c>
      <c r="I32">
        <v>26</v>
      </c>
      <c r="J32">
        <v>35</v>
      </c>
      <c r="K32">
        <v>7</v>
      </c>
      <c r="L32" s="1" t="s">
        <v>27</v>
      </c>
      <c r="M32">
        <v>8.9545283153180151</v>
      </c>
      <c r="N32" s="1" t="s">
        <v>52</v>
      </c>
      <c r="O32" s="1" t="s">
        <v>45</v>
      </c>
      <c r="P32">
        <v>27</v>
      </c>
      <c r="Q32">
        <v>806</v>
      </c>
      <c r="R32">
        <v>30</v>
      </c>
      <c r="S32">
        <v>51.634893400109334</v>
      </c>
      <c r="T32" s="1" t="s">
        <v>30</v>
      </c>
      <c r="U32">
        <v>0.96539470535239313</v>
      </c>
      <c r="V32" s="1" t="s">
        <v>31</v>
      </c>
      <c r="W32" s="1" t="s">
        <v>41</v>
      </c>
      <c r="X32">
        <v>880.08098824716103</v>
      </c>
    </row>
    <row r="33" spans="1:24" x14ac:dyDescent="0.3">
      <c r="A33" s="1" t="s">
        <v>33</v>
      </c>
      <c r="B33" s="1" t="s">
        <v>85</v>
      </c>
      <c r="C33">
        <v>50.847393051718697</v>
      </c>
      <c r="D33">
        <v>28</v>
      </c>
      <c r="E33">
        <v>168</v>
      </c>
      <c r="F33">
        <v>9655.1351027193978</v>
      </c>
      <c r="G33" s="1" t="s">
        <v>55</v>
      </c>
      <c r="H33">
        <v>6</v>
      </c>
      <c r="I33">
        <v>17</v>
      </c>
      <c r="J33">
        <v>44</v>
      </c>
      <c r="K33">
        <v>4</v>
      </c>
      <c r="L33" s="1" t="s">
        <v>27</v>
      </c>
      <c r="M33">
        <v>2.6796609649814065</v>
      </c>
      <c r="N33" s="1" t="s">
        <v>28</v>
      </c>
      <c r="O33" s="1" t="s">
        <v>62</v>
      </c>
      <c r="P33">
        <v>24</v>
      </c>
      <c r="Q33">
        <v>461</v>
      </c>
      <c r="R33">
        <v>8</v>
      </c>
      <c r="S33">
        <v>60.25114566159808</v>
      </c>
      <c r="T33" s="1" t="s">
        <v>30</v>
      </c>
      <c r="U33">
        <v>2.9890000066550746</v>
      </c>
      <c r="V33" s="1" t="s">
        <v>47</v>
      </c>
      <c r="W33" s="1" t="s">
        <v>41</v>
      </c>
      <c r="X33">
        <v>609.37920661842668</v>
      </c>
    </row>
    <row r="34" spans="1:24" x14ac:dyDescent="0.3">
      <c r="A34" s="1" t="s">
        <v>33</v>
      </c>
      <c r="B34" s="1" t="s">
        <v>86</v>
      </c>
      <c r="C34">
        <v>79.209936015656723</v>
      </c>
      <c r="D34">
        <v>43</v>
      </c>
      <c r="E34">
        <v>781</v>
      </c>
      <c r="F34">
        <v>9571.5504873278187</v>
      </c>
      <c r="G34" s="1" t="s">
        <v>38</v>
      </c>
      <c r="H34">
        <v>89</v>
      </c>
      <c r="I34">
        <v>13</v>
      </c>
      <c r="J34">
        <v>64</v>
      </c>
      <c r="K34">
        <v>4</v>
      </c>
      <c r="L34" s="1" t="s">
        <v>43</v>
      </c>
      <c r="M34">
        <v>6.5991049012385838</v>
      </c>
      <c r="N34" s="1" t="s">
        <v>28</v>
      </c>
      <c r="O34" s="1" t="s">
        <v>45</v>
      </c>
      <c r="P34">
        <v>30</v>
      </c>
      <c r="Q34">
        <v>737</v>
      </c>
      <c r="R34">
        <v>7</v>
      </c>
      <c r="S34">
        <v>29.692467153749774</v>
      </c>
      <c r="T34" s="1" t="s">
        <v>64</v>
      </c>
      <c r="U34">
        <v>1.9460361193861131</v>
      </c>
      <c r="V34" s="1" t="s">
        <v>31</v>
      </c>
      <c r="W34" s="1" t="s">
        <v>48</v>
      </c>
      <c r="X34">
        <v>761.17390951487755</v>
      </c>
    </row>
    <row r="35" spans="1:24" x14ac:dyDescent="0.3">
      <c r="A35" s="1" t="s">
        <v>57</v>
      </c>
      <c r="B35" s="1" t="s">
        <v>87</v>
      </c>
      <c r="C35">
        <v>64.795435000155607</v>
      </c>
      <c r="D35">
        <v>63</v>
      </c>
      <c r="E35">
        <v>616</v>
      </c>
      <c r="F35">
        <v>5149.9983504080365</v>
      </c>
      <c r="G35" s="1" t="s">
        <v>26</v>
      </c>
      <c r="H35">
        <v>4</v>
      </c>
      <c r="I35">
        <v>17</v>
      </c>
      <c r="J35">
        <v>95</v>
      </c>
      <c r="K35">
        <v>9</v>
      </c>
      <c r="L35" s="1" t="s">
        <v>43</v>
      </c>
      <c r="M35">
        <v>4.85827050343664</v>
      </c>
      <c r="N35" s="1" t="s">
        <v>44</v>
      </c>
      <c r="O35" s="1" t="s">
        <v>62</v>
      </c>
      <c r="P35">
        <v>1</v>
      </c>
      <c r="Q35">
        <v>251</v>
      </c>
      <c r="R35">
        <v>23</v>
      </c>
      <c r="S35">
        <v>23.853427512896133</v>
      </c>
      <c r="T35" s="1" t="s">
        <v>46</v>
      </c>
      <c r="U35">
        <v>3.5410460122509231</v>
      </c>
      <c r="V35" s="1" t="s">
        <v>56</v>
      </c>
      <c r="W35" s="1" t="s">
        <v>48</v>
      </c>
      <c r="X35">
        <v>371.25529551987103</v>
      </c>
    </row>
    <row r="36" spans="1:24" x14ac:dyDescent="0.3">
      <c r="A36" s="1" t="s">
        <v>33</v>
      </c>
      <c r="B36" s="1" t="s">
        <v>88</v>
      </c>
      <c r="C36">
        <v>37.467592329842461</v>
      </c>
      <c r="D36">
        <v>96</v>
      </c>
      <c r="E36">
        <v>602</v>
      </c>
      <c r="F36">
        <v>9061.7108955077238</v>
      </c>
      <c r="G36" s="1" t="s">
        <v>38</v>
      </c>
      <c r="H36">
        <v>1</v>
      </c>
      <c r="I36">
        <v>26</v>
      </c>
      <c r="J36">
        <v>21</v>
      </c>
      <c r="K36">
        <v>7</v>
      </c>
      <c r="L36" s="1" t="s">
        <v>36</v>
      </c>
      <c r="M36">
        <v>1.0194875708221189</v>
      </c>
      <c r="N36" s="1" t="s">
        <v>39</v>
      </c>
      <c r="O36" s="1" t="s">
        <v>62</v>
      </c>
      <c r="P36">
        <v>4</v>
      </c>
      <c r="Q36">
        <v>452</v>
      </c>
      <c r="R36">
        <v>10</v>
      </c>
      <c r="S36">
        <v>10.754272815029333</v>
      </c>
      <c r="T36" s="1" t="s">
        <v>64</v>
      </c>
      <c r="U36">
        <v>0.64660455937205485</v>
      </c>
      <c r="V36" s="1" t="s">
        <v>31</v>
      </c>
      <c r="W36" s="1" t="s">
        <v>32</v>
      </c>
      <c r="X36">
        <v>510.3580004335235</v>
      </c>
    </row>
    <row r="37" spans="1:24" x14ac:dyDescent="0.3">
      <c r="A37" s="1" t="s">
        <v>57</v>
      </c>
      <c r="B37" s="1" t="s">
        <v>89</v>
      </c>
      <c r="C37">
        <v>84.957786816350435</v>
      </c>
      <c r="D37">
        <v>11</v>
      </c>
      <c r="E37">
        <v>449</v>
      </c>
      <c r="F37">
        <v>6541.3293448024651</v>
      </c>
      <c r="G37" s="1" t="s">
        <v>35</v>
      </c>
      <c r="H37">
        <v>42</v>
      </c>
      <c r="I37">
        <v>27</v>
      </c>
      <c r="J37">
        <v>85</v>
      </c>
      <c r="K37">
        <v>8</v>
      </c>
      <c r="L37" s="1" t="s">
        <v>43</v>
      </c>
      <c r="M37">
        <v>5.2881899903274094</v>
      </c>
      <c r="N37" s="1" t="s">
        <v>39</v>
      </c>
      <c r="O37" s="1" t="s">
        <v>50</v>
      </c>
      <c r="P37">
        <v>3</v>
      </c>
      <c r="Q37">
        <v>367</v>
      </c>
      <c r="R37">
        <v>2</v>
      </c>
      <c r="S37">
        <v>58.004787044743765</v>
      </c>
      <c r="T37" s="1" t="s">
        <v>64</v>
      </c>
      <c r="U37">
        <v>0.54115409806058112</v>
      </c>
      <c r="V37" s="1" t="s">
        <v>56</v>
      </c>
      <c r="W37" s="1" t="s">
        <v>41</v>
      </c>
      <c r="X37">
        <v>553.42047123035582</v>
      </c>
    </row>
    <row r="38" spans="1:24" x14ac:dyDescent="0.3">
      <c r="A38" s="1" t="s">
        <v>33</v>
      </c>
      <c r="B38" s="1" t="s">
        <v>90</v>
      </c>
      <c r="C38">
        <v>9.8130025787540518</v>
      </c>
      <c r="D38">
        <v>34</v>
      </c>
      <c r="E38">
        <v>963</v>
      </c>
      <c r="F38">
        <v>7573.4024578487333</v>
      </c>
      <c r="G38" s="1" t="s">
        <v>35</v>
      </c>
      <c r="H38">
        <v>18</v>
      </c>
      <c r="I38">
        <v>23</v>
      </c>
      <c r="J38">
        <v>28</v>
      </c>
      <c r="K38">
        <v>3</v>
      </c>
      <c r="L38" s="1" t="s">
        <v>27</v>
      </c>
      <c r="M38">
        <v>2.107951267159081</v>
      </c>
      <c r="N38" s="1" t="s">
        <v>61</v>
      </c>
      <c r="O38" s="1" t="s">
        <v>50</v>
      </c>
      <c r="P38">
        <v>26</v>
      </c>
      <c r="Q38">
        <v>671</v>
      </c>
      <c r="R38">
        <v>19</v>
      </c>
      <c r="S38">
        <v>45.531364237162144</v>
      </c>
      <c r="T38" s="1" t="s">
        <v>46</v>
      </c>
      <c r="U38">
        <v>3.8055333792433537</v>
      </c>
      <c r="V38" s="1" t="s">
        <v>40</v>
      </c>
      <c r="W38" s="1" t="s">
        <v>41</v>
      </c>
      <c r="X38">
        <v>403.8089742481805</v>
      </c>
    </row>
    <row r="39" spans="1:24" x14ac:dyDescent="0.3">
      <c r="A39" s="1" t="s">
        <v>33</v>
      </c>
      <c r="B39" s="1" t="s">
        <v>91</v>
      </c>
      <c r="C39">
        <v>23.399844752614349</v>
      </c>
      <c r="D39">
        <v>5</v>
      </c>
      <c r="E39">
        <v>963</v>
      </c>
      <c r="F39">
        <v>2438.3399304700288</v>
      </c>
      <c r="G39" s="1" t="s">
        <v>35</v>
      </c>
      <c r="H39">
        <v>25</v>
      </c>
      <c r="I39">
        <v>8</v>
      </c>
      <c r="J39">
        <v>21</v>
      </c>
      <c r="K39">
        <v>9</v>
      </c>
      <c r="L39" s="1" t="s">
        <v>36</v>
      </c>
      <c r="M39">
        <v>1.5326552735904306</v>
      </c>
      <c r="N39" s="1" t="s">
        <v>28</v>
      </c>
      <c r="O39" s="1" t="s">
        <v>45</v>
      </c>
      <c r="P39">
        <v>24</v>
      </c>
      <c r="Q39">
        <v>867</v>
      </c>
      <c r="R39">
        <v>15</v>
      </c>
      <c r="S39">
        <v>34.343277465075381</v>
      </c>
      <c r="T39" s="1" t="s">
        <v>30</v>
      </c>
      <c r="U39">
        <v>2.6102880848481131</v>
      </c>
      <c r="V39" s="1" t="s">
        <v>56</v>
      </c>
      <c r="W39" s="1" t="s">
        <v>48</v>
      </c>
      <c r="X39">
        <v>183.93296804359437</v>
      </c>
    </row>
    <row r="40" spans="1:24" x14ac:dyDescent="0.3">
      <c r="A40" s="1" t="s">
        <v>57</v>
      </c>
      <c r="B40" s="1" t="s">
        <v>92</v>
      </c>
      <c r="C40">
        <v>52.075930682707799</v>
      </c>
      <c r="D40">
        <v>75</v>
      </c>
      <c r="E40">
        <v>705</v>
      </c>
      <c r="F40">
        <v>9692.3180402184316</v>
      </c>
      <c r="G40" s="1" t="s">
        <v>26</v>
      </c>
      <c r="H40">
        <v>69</v>
      </c>
      <c r="I40">
        <v>1</v>
      </c>
      <c r="J40">
        <v>88</v>
      </c>
      <c r="K40">
        <v>5</v>
      </c>
      <c r="L40" s="1" t="s">
        <v>27</v>
      </c>
      <c r="M40">
        <v>9.2359314372492278</v>
      </c>
      <c r="N40" s="1" t="s">
        <v>44</v>
      </c>
      <c r="O40" s="1" t="s">
        <v>29</v>
      </c>
      <c r="P40">
        <v>10</v>
      </c>
      <c r="Q40">
        <v>841</v>
      </c>
      <c r="R40">
        <v>12</v>
      </c>
      <c r="S40">
        <v>5.9306936455283177</v>
      </c>
      <c r="T40" s="1" t="s">
        <v>30</v>
      </c>
      <c r="U40">
        <v>0.61332689916450744</v>
      </c>
      <c r="V40" s="1" t="s">
        <v>40</v>
      </c>
      <c r="W40" s="1" t="s">
        <v>32</v>
      </c>
      <c r="X40">
        <v>339.67286994860615</v>
      </c>
    </row>
    <row r="41" spans="1:24" x14ac:dyDescent="0.3">
      <c r="A41" s="1" t="s">
        <v>33</v>
      </c>
      <c r="B41" s="1" t="s">
        <v>93</v>
      </c>
      <c r="C41">
        <v>19.127477265823256</v>
      </c>
      <c r="D41">
        <v>26</v>
      </c>
      <c r="E41">
        <v>176</v>
      </c>
      <c r="F41">
        <v>1912.4656631007608</v>
      </c>
      <c r="G41" s="1" t="s">
        <v>35</v>
      </c>
      <c r="H41">
        <v>78</v>
      </c>
      <c r="I41">
        <v>29</v>
      </c>
      <c r="J41">
        <v>34</v>
      </c>
      <c r="K41">
        <v>3</v>
      </c>
      <c r="L41" s="1" t="s">
        <v>36</v>
      </c>
      <c r="M41">
        <v>5.5625037788303837</v>
      </c>
      <c r="N41" s="1" t="s">
        <v>61</v>
      </c>
      <c r="O41" s="1" t="s">
        <v>45</v>
      </c>
      <c r="P41">
        <v>30</v>
      </c>
      <c r="Q41">
        <v>791</v>
      </c>
      <c r="R41">
        <v>6</v>
      </c>
      <c r="S41">
        <v>9.0058074287816421</v>
      </c>
      <c r="T41" s="1" t="s">
        <v>46</v>
      </c>
      <c r="U41">
        <v>1.4519722039968159</v>
      </c>
      <c r="V41" s="1" t="s">
        <v>40</v>
      </c>
      <c r="W41" s="1" t="s">
        <v>32</v>
      </c>
      <c r="X41">
        <v>653.67299455203317</v>
      </c>
    </row>
    <row r="42" spans="1:24" x14ac:dyDescent="0.3">
      <c r="A42" s="1" t="s">
        <v>33</v>
      </c>
      <c r="B42" s="1" t="s">
        <v>94</v>
      </c>
      <c r="C42">
        <v>80.541424170940331</v>
      </c>
      <c r="D42">
        <v>97</v>
      </c>
      <c r="E42">
        <v>933</v>
      </c>
      <c r="F42">
        <v>5724.9593504562654</v>
      </c>
      <c r="G42" s="1" t="s">
        <v>35</v>
      </c>
      <c r="H42">
        <v>90</v>
      </c>
      <c r="I42">
        <v>20</v>
      </c>
      <c r="J42">
        <v>39</v>
      </c>
      <c r="K42">
        <v>8</v>
      </c>
      <c r="L42" s="1" t="s">
        <v>43</v>
      </c>
      <c r="M42">
        <v>7.2295951397364737</v>
      </c>
      <c r="N42" s="1" t="s">
        <v>39</v>
      </c>
      <c r="O42" s="1" t="s">
        <v>45</v>
      </c>
      <c r="P42">
        <v>18</v>
      </c>
      <c r="Q42">
        <v>793</v>
      </c>
      <c r="R42">
        <v>1</v>
      </c>
      <c r="S42">
        <v>88.179407104217461</v>
      </c>
      <c r="T42" s="1" t="s">
        <v>30</v>
      </c>
      <c r="U42">
        <v>4.2132694305865659</v>
      </c>
      <c r="V42" s="1" t="s">
        <v>31</v>
      </c>
      <c r="W42" s="1" t="s">
        <v>48</v>
      </c>
      <c r="X42">
        <v>529.80872398069187</v>
      </c>
    </row>
    <row r="43" spans="1:24" x14ac:dyDescent="0.3">
      <c r="A43" s="1" t="s">
        <v>33</v>
      </c>
      <c r="B43" s="1" t="s">
        <v>95</v>
      </c>
      <c r="C43">
        <v>99.113291615317166</v>
      </c>
      <c r="D43">
        <v>35</v>
      </c>
      <c r="E43">
        <v>556</v>
      </c>
      <c r="F43">
        <v>5521.2052590109715</v>
      </c>
      <c r="G43" s="1" t="s">
        <v>35</v>
      </c>
      <c r="H43">
        <v>64</v>
      </c>
      <c r="I43">
        <v>19</v>
      </c>
      <c r="J43">
        <v>38</v>
      </c>
      <c r="K43">
        <v>8</v>
      </c>
      <c r="L43" s="1" t="s">
        <v>27</v>
      </c>
      <c r="M43">
        <v>5.7732637437666536</v>
      </c>
      <c r="N43" s="1" t="s">
        <v>52</v>
      </c>
      <c r="O43" s="1" t="s">
        <v>62</v>
      </c>
      <c r="P43">
        <v>18</v>
      </c>
      <c r="Q43">
        <v>892</v>
      </c>
      <c r="R43">
        <v>7</v>
      </c>
      <c r="S43">
        <v>95.332064548772493</v>
      </c>
      <c r="T43" s="1" t="s">
        <v>46</v>
      </c>
      <c r="U43">
        <v>4.530226239825963E-2</v>
      </c>
      <c r="V43" s="1" t="s">
        <v>56</v>
      </c>
      <c r="W43" s="1" t="s">
        <v>48</v>
      </c>
      <c r="X43">
        <v>275.52437113130981</v>
      </c>
    </row>
    <row r="44" spans="1:24" x14ac:dyDescent="0.3">
      <c r="A44" s="1" t="s">
        <v>33</v>
      </c>
      <c r="B44" s="1" t="s">
        <v>96</v>
      </c>
      <c r="C44">
        <v>46.529167614516773</v>
      </c>
      <c r="D44">
        <v>98</v>
      </c>
      <c r="E44">
        <v>155</v>
      </c>
      <c r="F44">
        <v>1839.6094258567639</v>
      </c>
      <c r="G44" s="1" t="s">
        <v>35</v>
      </c>
      <c r="H44">
        <v>22</v>
      </c>
      <c r="I44">
        <v>27</v>
      </c>
      <c r="J44">
        <v>57</v>
      </c>
      <c r="K44">
        <v>4</v>
      </c>
      <c r="L44" s="1" t="s">
        <v>43</v>
      </c>
      <c r="M44">
        <v>7.5262483268515084</v>
      </c>
      <c r="N44" s="1" t="s">
        <v>44</v>
      </c>
      <c r="O44" s="1" t="s">
        <v>53</v>
      </c>
      <c r="P44">
        <v>26</v>
      </c>
      <c r="Q44">
        <v>179</v>
      </c>
      <c r="R44">
        <v>7</v>
      </c>
      <c r="S44">
        <v>96.422820639571867</v>
      </c>
      <c r="T44" s="1" t="s">
        <v>46</v>
      </c>
      <c r="U44">
        <v>4.9392552886209478</v>
      </c>
      <c r="V44" s="1" t="s">
        <v>31</v>
      </c>
      <c r="W44" s="1" t="s">
        <v>48</v>
      </c>
      <c r="X44">
        <v>635.65712050199193</v>
      </c>
    </row>
    <row r="45" spans="1:24" x14ac:dyDescent="0.3">
      <c r="A45" s="1" t="s">
        <v>24</v>
      </c>
      <c r="B45" s="1" t="s">
        <v>97</v>
      </c>
      <c r="C45">
        <v>11.743271776309239</v>
      </c>
      <c r="D45">
        <v>6</v>
      </c>
      <c r="E45">
        <v>598</v>
      </c>
      <c r="F45">
        <v>5737.425599119023</v>
      </c>
      <c r="G45" s="1" t="s">
        <v>38</v>
      </c>
      <c r="H45">
        <v>36</v>
      </c>
      <c r="I45">
        <v>29</v>
      </c>
      <c r="J45">
        <v>85</v>
      </c>
      <c r="K45">
        <v>9</v>
      </c>
      <c r="L45" s="1" t="s">
        <v>27</v>
      </c>
      <c r="M45">
        <v>3.6940212683884543</v>
      </c>
      <c r="N45" s="1" t="s">
        <v>44</v>
      </c>
      <c r="O45" s="1" t="s">
        <v>29</v>
      </c>
      <c r="P45">
        <v>1</v>
      </c>
      <c r="Q45">
        <v>206</v>
      </c>
      <c r="R45">
        <v>23</v>
      </c>
      <c r="S45">
        <v>26.27736595733241</v>
      </c>
      <c r="T45" s="1" t="s">
        <v>30</v>
      </c>
      <c r="U45">
        <v>0.37230476798509771</v>
      </c>
      <c r="V45" s="1" t="s">
        <v>40</v>
      </c>
      <c r="W45" s="1" t="s">
        <v>48</v>
      </c>
      <c r="X45">
        <v>716.04411975934067</v>
      </c>
    </row>
    <row r="46" spans="1:24" x14ac:dyDescent="0.3">
      <c r="A46" s="1" t="s">
        <v>57</v>
      </c>
      <c r="B46" s="1" t="s">
        <v>98</v>
      </c>
      <c r="C46">
        <v>51.35579091311039</v>
      </c>
      <c r="D46">
        <v>34</v>
      </c>
      <c r="E46">
        <v>919</v>
      </c>
      <c r="F46">
        <v>7152.2860494355145</v>
      </c>
      <c r="G46" s="1" t="s">
        <v>35</v>
      </c>
      <c r="H46">
        <v>13</v>
      </c>
      <c r="I46">
        <v>19</v>
      </c>
      <c r="J46">
        <v>72</v>
      </c>
      <c r="K46">
        <v>6</v>
      </c>
      <c r="L46" s="1" t="s">
        <v>43</v>
      </c>
      <c r="M46">
        <v>7.5774496573766932</v>
      </c>
      <c r="N46" s="1" t="s">
        <v>61</v>
      </c>
      <c r="O46" s="1" t="s">
        <v>50</v>
      </c>
      <c r="P46">
        <v>7</v>
      </c>
      <c r="Q46">
        <v>834</v>
      </c>
      <c r="R46">
        <v>18</v>
      </c>
      <c r="S46">
        <v>22.554106620887744</v>
      </c>
      <c r="T46" s="1" t="s">
        <v>46</v>
      </c>
      <c r="U46">
        <v>2.9626263204548819</v>
      </c>
      <c r="V46" s="1" t="s">
        <v>47</v>
      </c>
      <c r="W46" s="1" t="s">
        <v>48</v>
      </c>
      <c r="X46">
        <v>610.45326961922774</v>
      </c>
    </row>
    <row r="47" spans="1:24" x14ac:dyDescent="0.3">
      <c r="A47" s="1" t="s">
        <v>24</v>
      </c>
      <c r="B47" s="1" t="s">
        <v>99</v>
      </c>
      <c r="C47">
        <v>33.78413803306551</v>
      </c>
      <c r="D47">
        <v>1</v>
      </c>
      <c r="E47">
        <v>24</v>
      </c>
      <c r="F47">
        <v>5267.9568075105208</v>
      </c>
      <c r="G47" s="1" t="s">
        <v>55</v>
      </c>
      <c r="H47">
        <v>93</v>
      </c>
      <c r="I47">
        <v>7</v>
      </c>
      <c r="J47">
        <v>52</v>
      </c>
      <c r="K47">
        <v>6</v>
      </c>
      <c r="L47" s="1" t="s">
        <v>27</v>
      </c>
      <c r="M47">
        <v>5.2151550087119096</v>
      </c>
      <c r="N47" s="1" t="s">
        <v>61</v>
      </c>
      <c r="O47" s="1" t="s">
        <v>62</v>
      </c>
      <c r="P47">
        <v>25</v>
      </c>
      <c r="Q47">
        <v>794</v>
      </c>
      <c r="R47">
        <v>25</v>
      </c>
      <c r="S47">
        <v>66.312544439991655</v>
      </c>
      <c r="T47" s="1" t="s">
        <v>64</v>
      </c>
      <c r="U47">
        <v>3.219604612084106</v>
      </c>
      <c r="V47" s="1" t="s">
        <v>47</v>
      </c>
      <c r="W47" s="1" t="s">
        <v>48</v>
      </c>
      <c r="X47">
        <v>495.30569702847396</v>
      </c>
    </row>
    <row r="48" spans="1:24" x14ac:dyDescent="0.3">
      <c r="A48" s="1" t="s">
        <v>24</v>
      </c>
      <c r="B48" s="1" t="s">
        <v>100</v>
      </c>
      <c r="C48">
        <v>27.082207199888899</v>
      </c>
      <c r="D48">
        <v>75</v>
      </c>
      <c r="E48">
        <v>859</v>
      </c>
      <c r="F48">
        <v>2556.7673606335957</v>
      </c>
      <c r="G48" s="1" t="s">
        <v>26</v>
      </c>
      <c r="H48">
        <v>92</v>
      </c>
      <c r="I48">
        <v>29</v>
      </c>
      <c r="J48">
        <v>6</v>
      </c>
      <c r="K48">
        <v>8</v>
      </c>
      <c r="L48" s="1" t="s">
        <v>27</v>
      </c>
      <c r="M48">
        <v>4.0709558370840826</v>
      </c>
      <c r="N48" s="1" t="s">
        <v>28</v>
      </c>
      <c r="O48" s="1" t="s">
        <v>62</v>
      </c>
      <c r="P48">
        <v>18</v>
      </c>
      <c r="Q48">
        <v>870</v>
      </c>
      <c r="R48">
        <v>23</v>
      </c>
      <c r="S48">
        <v>77.32235321105162</v>
      </c>
      <c r="T48" s="1" t="s">
        <v>30</v>
      </c>
      <c r="U48">
        <v>3.6486105925362033</v>
      </c>
      <c r="V48" s="1" t="s">
        <v>31</v>
      </c>
      <c r="W48" s="1" t="s">
        <v>32</v>
      </c>
      <c r="X48">
        <v>380.43593711196428</v>
      </c>
    </row>
    <row r="49" spans="1:24" x14ac:dyDescent="0.3">
      <c r="A49" s="1" t="s">
        <v>33</v>
      </c>
      <c r="B49" s="1" t="s">
        <v>101</v>
      </c>
      <c r="C49">
        <v>95.712135880936088</v>
      </c>
      <c r="D49">
        <v>93</v>
      </c>
      <c r="E49">
        <v>910</v>
      </c>
      <c r="F49">
        <v>7089.4742499341864</v>
      </c>
      <c r="G49" s="1" t="s">
        <v>55</v>
      </c>
      <c r="H49">
        <v>4</v>
      </c>
      <c r="I49">
        <v>15</v>
      </c>
      <c r="J49">
        <v>51</v>
      </c>
      <c r="K49">
        <v>9</v>
      </c>
      <c r="L49" s="1" t="s">
        <v>27</v>
      </c>
      <c r="M49">
        <v>8.9787507559499709</v>
      </c>
      <c r="N49" s="1" t="s">
        <v>39</v>
      </c>
      <c r="O49" s="1" t="s">
        <v>45</v>
      </c>
      <c r="P49">
        <v>10</v>
      </c>
      <c r="Q49">
        <v>964</v>
      </c>
      <c r="R49">
        <v>20</v>
      </c>
      <c r="S49">
        <v>19.712992911293647</v>
      </c>
      <c r="T49" s="1" t="s">
        <v>30</v>
      </c>
      <c r="U49">
        <v>0.38057358671321373</v>
      </c>
      <c r="V49" s="1" t="s">
        <v>47</v>
      </c>
      <c r="W49" s="1" t="s">
        <v>48</v>
      </c>
      <c r="X49">
        <v>581.60235505058677</v>
      </c>
    </row>
    <row r="50" spans="1:24" x14ac:dyDescent="0.3">
      <c r="A50" s="1" t="s">
        <v>24</v>
      </c>
      <c r="B50" s="1" t="s">
        <v>102</v>
      </c>
      <c r="C50">
        <v>76.035544426891718</v>
      </c>
      <c r="D50">
        <v>28</v>
      </c>
      <c r="E50">
        <v>29</v>
      </c>
      <c r="F50">
        <v>7397.0710045871801</v>
      </c>
      <c r="G50" s="1" t="s">
        <v>26</v>
      </c>
      <c r="H50">
        <v>30</v>
      </c>
      <c r="I50">
        <v>16</v>
      </c>
      <c r="J50">
        <v>9</v>
      </c>
      <c r="K50">
        <v>3</v>
      </c>
      <c r="L50" s="1" t="s">
        <v>43</v>
      </c>
      <c r="M50">
        <v>7.0958331565551385</v>
      </c>
      <c r="N50" s="1" t="s">
        <v>61</v>
      </c>
      <c r="O50" s="1" t="s">
        <v>29</v>
      </c>
      <c r="P50">
        <v>9</v>
      </c>
      <c r="Q50">
        <v>109</v>
      </c>
      <c r="R50">
        <v>18</v>
      </c>
      <c r="S50">
        <v>23.126363582464776</v>
      </c>
      <c r="T50" s="1" t="s">
        <v>46</v>
      </c>
      <c r="U50">
        <v>1.6981125407144038</v>
      </c>
      <c r="V50" s="1" t="s">
        <v>47</v>
      </c>
      <c r="W50" s="1" t="s">
        <v>32</v>
      </c>
      <c r="X50">
        <v>768.65191395437</v>
      </c>
    </row>
    <row r="51" spans="1:24" x14ac:dyDescent="0.3">
      <c r="A51" s="1" t="s">
        <v>57</v>
      </c>
      <c r="B51" s="1" t="s">
        <v>103</v>
      </c>
      <c r="C51">
        <v>78.897913205640037</v>
      </c>
      <c r="D51">
        <v>19</v>
      </c>
      <c r="E51">
        <v>99</v>
      </c>
      <c r="F51">
        <v>8001.6132065190022</v>
      </c>
      <c r="G51" s="1" t="s">
        <v>38</v>
      </c>
      <c r="H51">
        <v>97</v>
      </c>
      <c r="I51">
        <v>24</v>
      </c>
      <c r="J51">
        <v>9</v>
      </c>
      <c r="K51">
        <v>6</v>
      </c>
      <c r="L51" s="1" t="s">
        <v>43</v>
      </c>
      <c r="M51">
        <v>2.5056210329009154</v>
      </c>
      <c r="N51" s="1" t="s">
        <v>44</v>
      </c>
      <c r="O51" s="1" t="s">
        <v>50</v>
      </c>
      <c r="P51">
        <v>28</v>
      </c>
      <c r="Q51">
        <v>177</v>
      </c>
      <c r="R51">
        <v>28</v>
      </c>
      <c r="S51">
        <v>14.147815443979217</v>
      </c>
      <c r="T51" s="1" t="s">
        <v>64</v>
      </c>
      <c r="U51">
        <v>2.8258139854001318</v>
      </c>
      <c r="V51" s="1" t="s">
        <v>47</v>
      </c>
      <c r="W51" s="1" t="s">
        <v>48</v>
      </c>
      <c r="X51">
        <v>336.89016851997792</v>
      </c>
    </row>
    <row r="52" spans="1:24" x14ac:dyDescent="0.3">
      <c r="A52" s="1" t="s">
        <v>57</v>
      </c>
      <c r="B52" s="1" t="s">
        <v>104</v>
      </c>
      <c r="C52">
        <v>14.203484264803022</v>
      </c>
      <c r="D52">
        <v>91</v>
      </c>
      <c r="E52">
        <v>633</v>
      </c>
      <c r="F52">
        <v>5910.8853896688988</v>
      </c>
      <c r="G52" s="1" t="s">
        <v>35</v>
      </c>
      <c r="H52">
        <v>31</v>
      </c>
      <c r="I52">
        <v>23</v>
      </c>
      <c r="J52">
        <v>82</v>
      </c>
      <c r="K52">
        <v>10</v>
      </c>
      <c r="L52" s="1" t="s">
        <v>36</v>
      </c>
      <c r="M52">
        <v>6.2478609149759912</v>
      </c>
      <c r="N52" s="1" t="s">
        <v>61</v>
      </c>
      <c r="O52" s="1" t="s">
        <v>50</v>
      </c>
      <c r="P52">
        <v>20</v>
      </c>
      <c r="Q52">
        <v>306</v>
      </c>
      <c r="R52">
        <v>21</v>
      </c>
      <c r="S52">
        <v>45.178757924634517</v>
      </c>
      <c r="T52" s="1" t="s">
        <v>46</v>
      </c>
      <c r="U52">
        <v>4.7548008046711852</v>
      </c>
      <c r="V52" s="1" t="s">
        <v>47</v>
      </c>
      <c r="W52" s="1" t="s">
        <v>32</v>
      </c>
      <c r="X52">
        <v>496.24865029194046</v>
      </c>
    </row>
    <row r="53" spans="1:24" x14ac:dyDescent="0.3">
      <c r="A53" s="1" t="s">
        <v>24</v>
      </c>
      <c r="B53" s="1" t="s">
        <v>105</v>
      </c>
      <c r="C53">
        <v>26.70076097246173</v>
      </c>
      <c r="D53">
        <v>61</v>
      </c>
      <c r="E53">
        <v>154</v>
      </c>
      <c r="F53">
        <v>9866.465457979697</v>
      </c>
      <c r="G53" s="1" t="s">
        <v>55</v>
      </c>
      <c r="H53">
        <v>100</v>
      </c>
      <c r="I53">
        <v>4</v>
      </c>
      <c r="J53">
        <v>52</v>
      </c>
      <c r="K53">
        <v>1</v>
      </c>
      <c r="L53" s="1" t="s">
        <v>36</v>
      </c>
      <c r="M53">
        <v>4.7830005579476653</v>
      </c>
      <c r="N53" s="1" t="s">
        <v>44</v>
      </c>
      <c r="O53" s="1" t="s">
        <v>53</v>
      </c>
      <c r="P53">
        <v>18</v>
      </c>
      <c r="Q53">
        <v>673</v>
      </c>
      <c r="R53">
        <v>28</v>
      </c>
      <c r="S53">
        <v>14.190328344569981</v>
      </c>
      <c r="T53" s="1" t="s">
        <v>30</v>
      </c>
      <c r="U53">
        <v>1.7729511720835571</v>
      </c>
      <c r="V53" s="1" t="s">
        <v>31</v>
      </c>
      <c r="W53" s="1" t="s">
        <v>48</v>
      </c>
      <c r="X53">
        <v>694.98231757944586</v>
      </c>
    </row>
    <row r="54" spans="1:24" x14ac:dyDescent="0.3">
      <c r="A54" s="1" t="s">
        <v>33</v>
      </c>
      <c r="B54" s="1" t="s">
        <v>106</v>
      </c>
      <c r="C54">
        <v>98.031829656465078</v>
      </c>
      <c r="D54">
        <v>1</v>
      </c>
      <c r="E54">
        <v>820</v>
      </c>
      <c r="F54">
        <v>9435.7626089121295</v>
      </c>
      <c r="G54" s="1" t="s">
        <v>55</v>
      </c>
      <c r="H54">
        <v>64</v>
      </c>
      <c r="I54">
        <v>11</v>
      </c>
      <c r="J54">
        <v>11</v>
      </c>
      <c r="K54">
        <v>1</v>
      </c>
      <c r="L54" s="1" t="s">
        <v>27</v>
      </c>
      <c r="M54">
        <v>8.6310521797689468</v>
      </c>
      <c r="N54" s="1" t="s">
        <v>39</v>
      </c>
      <c r="O54" s="1" t="s">
        <v>29</v>
      </c>
      <c r="P54">
        <v>10</v>
      </c>
      <c r="Q54">
        <v>727</v>
      </c>
      <c r="R54">
        <v>27</v>
      </c>
      <c r="S54">
        <v>9.1668491485971515</v>
      </c>
      <c r="T54" s="1" t="s">
        <v>30</v>
      </c>
      <c r="U54">
        <v>2.1224716191438247</v>
      </c>
      <c r="V54" s="1" t="s">
        <v>40</v>
      </c>
      <c r="W54" s="1" t="s">
        <v>41</v>
      </c>
      <c r="X54">
        <v>602.89849883838338</v>
      </c>
    </row>
    <row r="55" spans="1:24" x14ac:dyDescent="0.3">
      <c r="A55" s="1" t="s">
        <v>33</v>
      </c>
      <c r="B55" s="1" t="s">
        <v>107</v>
      </c>
      <c r="C55">
        <v>30.341470711214214</v>
      </c>
      <c r="D55">
        <v>93</v>
      </c>
      <c r="E55">
        <v>242</v>
      </c>
      <c r="F55">
        <v>8232.3348294258212</v>
      </c>
      <c r="G55" s="1" t="s">
        <v>55</v>
      </c>
      <c r="H55">
        <v>96</v>
      </c>
      <c r="I55">
        <v>25</v>
      </c>
      <c r="J55">
        <v>54</v>
      </c>
      <c r="K55">
        <v>3</v>
      </c>
      <c r="L55" s="1" t="s">
        <v>27</v>
      </c>
      <c r="M55">
        <v>1.0134865660958963</v>
      </c>
      <c r="N55" s="1" t="s">
        <v>39</v>
      </c>
      <c r="O55" s="1" t="s">
        <v>50</v>
      </c>
      <c r="P55">
        <v>1</v>
      </c>
      <c r="Q55">
        <v>631</v>
      </c>
      <c r="R55">
        <v>17</v>
      </c>
      <c r="S55">
        <v>83.344058991677969</v>
      </c>
      <c r="T55" s="1" t="s">
        <v>30</v>
      </c>
      <c r="U55">
        <v>1.4103475760760271</v>
      </c>
      <c r="V55" s="1" t="s">
        <v>40</v>
      </c>
      <c r="W55" s="1" t="s">
        <v>32</v>
      </c>
      <c r="X55">
        <v>750.73784066827091</v>
      </c>
    </row>
    <row r="56" spans="1:24" x14ac:dyDescent="0.3">
      <c r="A56" s="1" t="s">
        <v>24</v>
      </c>
      <c r="B56" s="1" t="s">
        <v>108</v>
      </c>
      <c r="C56">
        <v>31.146243160240854</v>
      </c>
      <c r="D56">
        <v>11</v>
      </c>
      <c r="E56">
        <v>622</v>
      </c>
      <c r="F56">
        <v>6088.0214799408586</v>
      </c>
      <c r="G56" s="1" t="s">
        <v>26</v>
      </c>
      <c r="H56">
        <v>33</v>
      </c>
      <c r="I56">
        <v>22</v>
      </c>
      <c r="J56">
        <v>61</v>
      </c>
      <c r="K56">
        <v>3</v>
      </c>
      <c r="L56" s="1" t="s">
        <v>27</v>
      </c>
      <c r="M56">
        <v>4.3051034712876355</v>
      </c>
      <c r="N56" s="1" t="s">
        <v>39</v>
      </c>
      <c r="O56" s="1" t="s">
        <v>45</v>
      </c>
      <c r="P56">
        <v>26</v>
      </c>
      <c r="Q56">
        <v>497</v>
      </c>
      <c r="R56">
        <v>29</v>
      </c>
      <c r="S56">
        <v>30.186023375822508</v>
      </c>
      <c r="T56" s="1" t="s">
        <v>64</v>
      </c>
      <c r="U56">
        <v>2.4787719755397477</v>
      </c>
      <c r="V56" s="1" t="s">
        <v>31</v>
      </c>
      <c r="W56" s="1" t="s">
        <v>32</v>
      </c>
      <c r="X56">
        <v>814.06999658218751</v>
      </c>
    </row>
    <row r="57" spans="1:24" x14ac:dyDescent="0.3">
      <c r="A57" s="1" t="s">
        <v>24</v>
      </c>
      <c r="B57" s="1" t="s">
        <v>109</v>
      </c>
      <c r="C57">
        <v>79.855058340789427</v>
      </c>
      <c r="D57">
        <v>16</v>
      </c>
      <c r="E57">
        <v>701</v>
      </c>
      <c r="F57">
        <v>2925.6751703038126</v>
      </c>
      <c r="G57" s="1" t="s">
        <v>55</v>
      </c>
      <c r="H57">
        <v>97</v>
      </c>
      <c r="I57">
        <v>11</v>
      </c>
      <c r="J57">
        <v>11</v>
      </c>
      <c r="K57">
        <v>5</v>
      </c>
      <c r="L57" s="1" t="s">
        <v>36</v>
      </c>
      <c r="M57">
        <v>5.0143649550309073</v>
      </c>
      <c r="N57" s="1" t="s">
        <v>61</v>
      </c>
      <c r="O57" s="1" t="s">
        <v>50</v>
      </c>
      <c r="P57">
        <v>27</v>
      </c>
      <c r="Q57">
        <v>918</v>
      </c>
      <c r="R57">
        <v>5</v>
      </c>
      <c r="S57">
        <v>30.323545256616502</v>
      </c>
      <c r="T57" s="1" t="s">
        <v>46</v>
      </c>
      <c r="U57">
        <v>4.5489196593963852</v>
      </c>
      <c r="V57" s="1" t="s">
        <v>56</v>
      </c>
      <c r="W57" s="1" t="s">
        <v>32</v>
      </c>
      <c r="X57">
        <v>323.01292795247883</v>
      </c>
    </row>
    <row r="58" spans="1:24" x14ac:dyDescent="0.3">
      <c r="A58" s="1" t="s">
        <v>33</v>
      </c>
      <c r="B58" s="1" t="s">
        <v>110</v>
      </c>
      <c r="C58">
        <v>20.986386037043378</v>
      </c>
      <c r="D58">
        <v>90</v>
      </c>
      <c r="E58">
        <v>93</v>
      </c>
      <c r="F58">
        <v>4767.020484344137</v>
      </c>
      <c r="G58" s="1" t="s">
        <v>26</v>
      </c>
      <c r="H58">
        <v>25</v>
      </c>
      <c r="I58">
        <v>23</v>
      </c>
      <c r="J58">
        <v>83</v>
      </c>
      <c r="K58">
        <v>5</v>
      </c>
      <c r="L58" s="1" t="s">
        <v>43</v>
      </c>
      <c r="M58">
        <v>1.7744297140717396</v>
      </c>
      <c r="N58" s="1" t="s">
        <v>39</v>
      </c>
      <c r="O58" s="1" t="s">
        <v>29</v>
      </c>
      <c r="P58">
        <v>24</v>
      </c>
      <c r="Q58">
        <v>826</v>
      </c>
      <c r="R58">
        <v>28</v>
      </c>
      <c r="S58">
        <v>12.836284572832753</v>
      </c>
      <c r="T58" s="1" t="s">
        <v>64</v>
      </c>
      <c r="U58">
        <v>1.1737554953874541</v>
      </c>
      <c r="V58" s="1" t="s">
        <v>40</v>
      </c>
      <c r="W58" s="1" t="s">
        <v>32</v>
      </c>
      <c r="X58">
        <v>832.21080870602168</v>
      </c>
    </row>
    <row r="59" spans="1:24" x14ac:dyDescent="0.3">
      <c r="A59" s="1" t="s">
        <v>24</v>
      </c>
      <c r="B59" s="1" t="s">
        <v>111</v>
      </c>
      <c r="C59">
        <v>49.263205350734154</v>
      </c>
      <c r="D59">
        <v>65</v>
      </c>
      <c r="E59">
        <v>227</v>
      </c>
      <c r="F59">
        <v>1605.8669003924058</v>
      </c>
      <c r="G59" s="1" t="s">
        <v>38</v>
      </c>
      <c r="H59">
        <v>5</v>
      </c>
      <c r="I59">
        <v>18</v>
      </c>
      <c r="J59">
        <v>51</v>
      </c>
      <c r="K59">
        <v>1</v>
      </c>
      <c r="L59" s="1" t="s">
        <v>27</v>
      </c>
      <c r="M59">
        <v>9.1605585353818704</v>
      </c>
      <c r="N59" s="1" t="s">
        <v>61</v>
      </c>
      <c r="O59" s="1" t="s">
        <v>50</v>
      </c>
      <c r="P59">
        <v>21</v>
      </c>
      <c r="Q59">
        <v>588</v>
      </c>
      <c r="R59">
        <v>25</v>
      </c>
      <c r="S59">
        <v>67.779622987078142</v>
      </c>
      <c r="T59" s="1" t="s">
        <v>30</v>
      </c>
      <c r="U59">
        <v>2.511174830212707</v>
      </c>
      <c r="V59" s="1" t="s">
        <v>47</v>
      </c>
      <c r="W59" s="1" t="s">
        <v>48</v>
      </c>
      <c r="X59">
        <v>482.19123860252813</v>
      </c>
    </row>
    <row r="60" spans="1:24" x14ac:dyDescent="0.3">
      <c r="A60" s="1" t="s">
        <v>33</v>
      </c>
      <c r="B60" s="1" t="s">
        <v>112</v>
      </c>
      <c r="C60">
        <v>59.84156137728931</v>
      </c>
      <c r="D60">
        <v>81</v>
      </c>
      <c r="E60">
        <v>896</v>
      </c>
      <c r="F60">
        <v>2021.1498103371077</v>
      </c>
      <c r="G60" s="1" t="s">
        <v>26</v>
      </c>
      <c r="H60">
        <v>10</v>
      </c>
      <c r="I60">
        <v>5</v>
      </c>
      <c r="J60">
        <v>44</v>
      </c>
      <c r="K60">
        <v>7</v>
      </c>
      <c r="L60" s="1" t="s">
        <v>36</v>
      </c>
      <c r="M60">
        <v>4.9384385647120901</v>
      </c>
      <c r="N60" s="1" t="s">
        <v>28</v>
      </c>
      <c r="O60" s="1" t="s">
        <v>50</v>
      </c>
      <c r="P60">
        <v>18</v>
      </c>
      <c r="Q60">
        <v>396</v>
      </c>
      <c r="R60">
        <v>7</v>
      </c>
      <c r="S60">
        <v>65.047415094691459</v>
      </c>
      <c r="T60" s="1" t="s">
        <v>46</v>
      </c>
      <c r="U60">
        <v>1.7303747198591968</v>
      </c>
      <c r="V60" s="1" t="s">
        <v>31</v>
      </c>
      <c r="W60" s="1" t="s">
        <v>32</v>
      </c>
      <c r="X60">
        <v>110.36433523136472</v>
      </c>
    </row>
    <row r="61" spans="1:24" x14ac:dyDescent="0.3">
      <c r="A61" s="1" t="s">
        <v>57</v>
      </c>
      <c r="B61" s="1" t="s">
        <v>113</v>
      </c>
      <c r="C61">
        <v>63.828398347710966</v>
      </c>
      <c r="D61">
        <v>30</v>
      </c>
      <c r="E61">
        <v>484</v>
      </c>
      <c r="F61">
        <v>1061.618523013288</v>
      </c>
      <c r="G61" s="1" t="s">
        <v>26</v>
      </c>
      <c r="H61">
        <v>100</v>
      </c>
      <c r="I61">
        <v>16</v>
      </c>
      <c r="J61">
        <v>26</v>
      </c>
      <c r="K61">
        <v>7</v>
      </c>
      <c r="L61" s="1" t="s">
        <v>27</v>
      </c>
      <c r="M61">
        <v>7.2937225968677284</v>
      </c>
      <c r="N61" s="1" t="s">
        <v>39</v>
      </c>
      <c r="O61" s="1" t="s">
        <v>45</v>
      </c>
      <c r="P61">
        <v>11</v>
      </c>
      <c r="Q61">
        <v>176</v>
      </c>
      <c r="R61">
        <v>4</v>
      </c>
      <c r="S61">
        <v>1.900762243519458</v>
      </c>
      <c r="T61" s="1" t="s">
        <v>46</v>
      </c>
      <c r="U61">
        <v>0.4471940154638232</v>
      </c>
      <c r="V61" s="1" t="s">
        <v>40</v>
      </c>
      <c r="W61" s="1" t="s">
        <v>48</v>
      </c>
      <c r="X61">
        <v>312.57427361009331</v>
      </c>
    </row>
    <row r="62" spans="1:24" x14ac:dyDescent="0.3">
      <c r="A62" s="1" t="s">
        <v>33</v>
      </c>
      <c r="B62" s="1" t="s">
        <v>114</v>
      </c>
      <c r="C62">
        <v>17.028027920188702</v>
      </c>
      <c r="D62">
        <v>16</v>
      </c>
      <c r="E62">
        <v>380</v>
      </c>
      <c r="F62">
        <v>8864.0843495864356</v>
      </c>
      <c r="G62" s="1" t="s">
        <v>35</v>
      </c>
      <c r="H62">
        <v>41</v>
      </c>
      <c r="I62">
        <v>27</v>
      </c>
      <c r="J62">
        <v>72</v>
      </c>
      <c r="K62">
        <v>8</v>
      </c>
      <c r="L62" s="1" t="s">
        <v>43</v>
      </c>
      <c r="M62">
        <v>4.3813681581023145</v>
      </c>
      <c r="N62" s="1" t="s">
        <v>52</v>
      </c>
      <c r="O62" s="1" t="s">
        <v>29</v>
      </c>
      <c r="P62">
        <v>29</v>
      </c>
      <c r="Q62">
        <v>929</v>
      </c>
      <c r="R62">
        <v>24</v>
      </c>
      <c r="S62">
        <v>87.213057815135684</v>
      </c>
      <c r="T62" s="1" t="s">
        <v>46</v>
      </c>
      <c r="U62">
        <v>2.8530906166490539</v>
      </c>
      <c r="V62" s="1" t="s">
        <v>47</v>
      </c>
      <c r="W62" s="1" t="s">
        <v>48</v>
      </c>
      <c r="X62">
        <v>430.16909697513654</v>
      </c>
    </row>
    <row r="63" spans="1:24" x14ac:dyDescent="0.3">
      <c r="A63" s="1" t="s">
        <v>24</v>
      </c>
      <c r="B63" s="1" t="s">
        <v>115</v>
      </c>
      <c r="C63">
        <v>52.028749903294923</v>
      </c>
      <c r="D63">
        <v>23</v>
      </c>
      <c r="E63">
        <v>117</v>
      </c>
      <c r="F63">
        <v>6885.5893508962527</v>
      </c>
      <c r="G63" s="1" t="s">
        <v>38</v>
      </c>
      <c r="H63">
        <v>32</v>
      </c>
      <c r="I63">
        <v>23</v>
      </c>
      <c r="J63">
        <v>36</v>
      </c>
      <c r="K63">
        <v>7</v>
      </c>
      <c r="L63" s="1" t="s">
        <v>43</v>
      </c>
      <c r="M63">
        <v>9.0303404225219488</v>
      </c>
      <c r="N63" s="1" t="s">
        <v>52</v>
      </c>
      <c r="O63" s="1" t="s">
        <v>45</v>
      </c>
      <c r="P63">
        <v>14</v>
      </c>
      <c r="Q63">
        <v>480</v>
      </c>
      <c r="R63">
        <v>12</v>
      </c>
      <c r="S63">
        <v>78.702393968878894</v>
      </c>
      <c r="T63" s="1" t="s">
        <v>46</v>
      </c>
      <c r="U63">
        <v>4.3674705382050529</v>
      </c>
      <c r="V63" s="1" t="s">
        <v>40</v>
      </c>
      <c r="W63" s="1" t="s">
        <v>48</v>
      </c>
      <c r="X63">
        <v>164.36652824341942</v>
      </c>
    </row>
    <row r="64" spans="1:24" x14ac:dyDescent="0.3">
      <c r="A64" s="1" t="s">
        <v>57</v>
      </c>
      <c r="B64" s="1" t="s">
        <v>116</v>
      </c>
      <c r="C64">
        <v>72.796353955587364</v>
      </c>
      <c r="D64">
        <v>89</v>
      </c>
      <c r="E64">
        <v>270</v>
      </c>
      <c r="F64">
        <v>3899.7468337292244</v>
      </c>
      <c r="G64" s="1" t="s">
        <v>38</v>
      </c>
      <c r="H64">
        <v>86</v>
      </c>
      <c r="I64">
        <v>2</v>
      </c>
      <c r="J64">
        <v>40</v>
      </c>
      <c r="K64">
        <v>7</v>
      </c>
      <c r="L64" s="1" t="s">
        <v>43</v>
      </c>
      <c r="M64">
        <v>7.2917013887767759</v>
      </c>
      <c r="N64" s="1" t="s">
        <v>61</v>
      </c>
      <c r="O64" s="1" t="s">
        <v>29</v>
      </c>
      <c r="P64">
        <v>13</v>
      </c>
      <c r="Q64">
        <v>751</v>
      </c>
      <c r="R64">
        <v>14</v>
      </c>
      <c r="S64">
        <v>21.048642725168644</v>
      </c>
      <c r="T64" s="1" t="s">
        <v>64</v>
      </c>
      <c r="U64">
        <v>1.8740014040443747</v>
      </c>
      <c r="V64" s="1" t="s">
        <v>56</v>
      </c>
      <c r="W64" s="1" t="s">
        <v>41</v>
      </c>
      <c r="X64">
        <v>320.84651575911158</v>
      </c>
    </row>
    <row r="65" spans="1:24" x14ac:dyDescent="0.3">
      <c r="A65" s="1" t="s">
        <v>33</v>
      </c>
      <c r="B65" s="1" t="s">
        <v>117</v>
      </c>
      <c r="C65">
        <v>13.017376785287857</v>
      </c>
      <c r="D65">
        <v>55</v>
      </c>
      <c r="E65">
        <v>246</v>
      </c>
      <c r="F65">
        <v>4256.9491408502254</v>
      </c>
      <c r="G65" s="1" t="s">
        <v>26</v>
      </c>
      <c r="H65">
        <v>54</v>
      </c>
      <c r="I65">
        <v>19</v>
      </c>
      <c r="J65">
        <v>10</v>
      </c>
      <c r="K65">
        <v>4</v>
      </c>
      <c r="L65" s="1" t="s">
        <v>36</v>
      </c>
      <c r="M65">
        <v>2.45793352798733</v>
      </c>
      <c r="N65" s="1" t="s">
        <v>28</v>
      </c>
      <c r="O65" s="1" t="s">
        <v>53</v>
      </c>
      <c r="P65">
        <v>18</v>
      </c>
      <c r="Q65">
        <v>736</v>
      </c>
      <c r="R65">
        <v>10</v>
      </c>
      <c r="S65">
        <v>20.075003975630484</v>
      </c>
      <c r="T65" s="1" t="s">
        <v>30</v>
      </c>
      <c r="U65">
        <v>3.6328432903821337</v>
      </c>
      <c r="V65" s="1" t="s">
        <v>56</v>
      </c>
      <c r="W65" s="1" t="s">
        <v>48</v>
      </c>
      <c r="X65">
        <v>687.28617786641735</v>
      </c>
    </row>
    <row r="66" spans="1:24" x14ac:dyDescent="0.3">
      <c r="A66" s="1" t="s">
        <v>33</v>
      </c>
      <c r="B66" s="1" t="s">
        <v>118</v>
      </c>
      <c r="C66">
        <v>89.634095608135326</v>
      </c>
      <c r="D66">
        <v>11</v>
      </c>
      <c r="E66">
        <v>134</v>
      </c>
      <c r="F66">
        <v>8458.7308783671779</v>
      </c>
      <c r="G66" s="1" t="s">
        <v>35</v>
      </c>
      <c r="H66">
        <v>73</v>
      </c>
      <c r="I66">
        <v>27</v>
      </c>
      <c r="J66">
        <v>75</v>
      </c>
      <c r="K66">
        <v>6</v>
      </c>
      <c r="L66" s="1" t="s">
        <v>43</v>
      </c>
      <c r="M66">
        <v>4.5853534681946524</v>
      </c>
      <c r="N66" s="1" t="s">
        <v>39</v>
      </c>
      <c r="O66" s="1" t="s">
        <v>50</v>
      </c>
      <c r="P66">
        <v>17</v>
      </c>
      <c r="Q66">
        <v>328</v>
      </c>
      <c r="R66">
        <v>6</v>
      </c>
      <c r="S66">
        <v>8.6930424258772874</v>
      </c>
      <c r="T66" s="1" t="s">
        <v>46</v>
      </c>
      <c r="U66">
        <v>0.15948631471751462</v>
      </c>
      <c r="V66" s="1" t="s">
        <v>40</v>
      </c>
      <c r="W66" s="1" t="s">
        <v>41</v>
      </c>
      <c r="X66">
        <v>771.22508468115745</v>
      </c>
    </row>
    <row r="67" spans="1:24" x14ac:dyDescent="0.3">
      <c r="A67" s="1" t="s">
        <v>33</v>
      </c>
      <c r="B67" s="1" t="s">
        <v>119</v>
      </c>
      <c r="C67">
        <v>33.697717206643127</v>
      </c>
      <c r="D67">
        <v>72</v>
      </c>
      <c r="E67">
        <v>457</v>
      </c>
      <c r="F67">
        <v>8354.5796864819949</v>
      </c>
      <c r="G67" s="1" t="s">
        <v>55</v>
      </c>
      <c r="H67">
        <v>57</v>
      </c>
      <c r="I67">
        <v>24</v>
      </c>
      <c r="J67">
        <v>54</v>
      </c>
      <c r="K67">
        <v>8</v>
      </c>
      <c r="L67" s="1" t="s">
        <v>43</v>
      </c>
      <c r="M67">
        <v>6.5805413478845951</v>
      </c>
      <c r="N67" s="1" t="s">
        <v>44</v>
      </c>
      <c r="O67" s="1" t="s">
        <v>45</v>
      </c>
      <c r="P67">
        <v>16</v>
      </c>
      <c r="Q67">
        <v>358</v>
      </c>
      <c r="R67">
        <v>21</v>
      </c>
      <c r="S67">
        <v>1.5972227430506774</v>
      </c>
      <c r="T67" s="1" t="s">
        <v>46</v>
      </c>
      <c r="U67">
        <v>4.911095954842331</v>
      </c>
      <c r="V67" s="1" t="s">
        <v>47</v>
      </c>
      <c r="W67" s="1" t="s">
        <v>41</v>
      </c>
      <c r="X67">
        <v>555.85910367174347</v>
      </c>
    </row>
    <row r="68" spans="1:24" x14ac:dyDescent="0.3">
      <c r="A68" s="1" t="s">
        <v>33</v>
      </c>
      <c r="B68" s="1" t="s">
        <v>120</v>
      </c>
      <c r="C68">
        <v>26.034869773962086</v>
      </c>
      <c r="D68">
        <v>52</v>
      </c>
      <c r="E68">
        <v>704</v>
      </c>
      <c r="F68">
        <v>8367.721618020154</v>
      </c>
      <c r="G68" s="1" t="s">
        <v>35</v>
      </c>
      <c r="H68">
        <v>13</v>
      </c>
      <c r="I68">
        <v>17</v>
      </c>
      <c r="J68">
        <v>19</v>
      </c>
      <c r="K68">
        <v>8</v>
      </c>
      <c r="L68" s="1" t="s">
        <v>36</v>
      </c>
      <c r="M68">
        <v>2.2161427287713633</v>
      </c>
      <c r="N68" s="1" t="s">
        <v>44</v>
      </c>
      <c r="O68" s="1" t="s">
        <v>45</v>
      </c>
      <c r="P68">
        <v>24</v>
      </c>
      <c r="Q68">
        <v>867</v>
      </c>
      <c r="R68">
        <v>28</v>
      </c>
      <c r="S68">
        <v>42.084436738309961</v>
      </c>
      <c r="T68" s="1" t="s">
        <v>46</v>
      </c>
      <c r="U68">
        <v>3.4480632883402618</v>
      </c>
      <c r="V68" s="1" t="s">
        <v>31</v>
      </c>
      <c r="W68" s="1" t="s">
        <v>48</v>
      </c>
      <c r="X68">
        <v>393.84334857842788</v>
      </c>
    </row>
    <row r="69" spans="1:24" x14ac:dyDescent="0.3">
      <c r="A69" s="1" t="s">
        <v>33</v>
      </c>
      <c r="B69" s="1" t="s">
        <v>121</v>
      </c>
      <c r="C69">
        <v>87.755432354001073</v>
      </c>
      <c r="D69">
        <v>16</v>
      </c>
      <c r="E69">
        <v>513</v>
      </c>
      <c r="F69">
        <v>9473.7980325083372</v>
      </c>
      <c r="G69" s="1" t="s">
        <v>38</v>
      </c>
      <c r="H69">
        <v>12</v>
      </c>
      <c r="I69">
        <v>9</v>
      </c>
      <c r="J69">
        <v>71</v>
      </c>
      <c r="K69">
        <v>9</v>
      </c>
      <c r="L69" s="1" t="s">
        <v>43</v>
      </c>
      <c r="M69">
        <v>9.147811544710633</v>
      </c>
      <c r="N69" s="1" t="s">
        <v>39</v>
      </c>
      <c r="O69" s="1" t="s">
        <v>29</v>
      </c>
      <c r="P69">
        <v>10</v>
      </c>
      <c r="Q69">
        <v>198</v>
      </c>
      <c r="R69">
        <v>11</v>
      </c>
      <c r="S69">
        <v>7.0578761469782307</v>
      </c>
      <c r="T69" s="1" t="s">
        <v>64</v>
      </c>
      <c r="U69">
        <v>0.13195544431181483</v>
      </c>
      <c r="V69" s="1" t="s">
        <v>56</v>
      </c>
      <c r="W69" s="1" t="s">
        <v>41</v>
      </c>
      <c r="X69">
        <v>169.2718013847869</v>
      </c>
    </row>
    <row r="70" spans="1:24" x14ac:dyDescent="0.3">
      <c r="A70" s="1" t="s">
        <v>24</v>
      </c>
      <c r="B70" s="1" t="s">
        <v>122</v>
      </c>
      <c r="C70">
        <v>37.931812382790319</v>
      </c>
      <c r="D70">
        <v>29</v>
      </c>
      <c r="E70">
        <v>163</v>
      </c>
      <c r="F70">
        <v>3550.2184327809919</v>
      </c>
      <c r="G70" s="1" t="s">
        <v>26</v>
      </c>
      <c r="H70">
        <v>0</v>
      </c>
      <c r="I70">
        <v>8</v>
      </c>
      <c r="J70">
        <v>58</v>
      </c>
      <c r="K70">
        <v>8</v>
      </c>
      <c r="L70" s="1" t="s">
        <v>27</v>
      </c>
      <c r="M70">
        <v>1.1942518648849991</v>
      </c>
      <c r="N70" s="1" t="s">
        <v>61</v>
      </c>
      <c r="O70" s="1" t="s">
        <v>53</v>
      </c>
      <c r="P70">
        <v>2</v>
      </c>
      <c r="Q70">
        <v>375</v>
      </c>
      <c r="R70">
        <v>18</v>
      </c>
      <c r="S70">
        <v>97.113581563462205</v>
      </c>
      <c r="T70" s="1" t="s">
        <v>46</v>
      </c>
      <c r="U70">
        <v>1.9834678721741801</v>
      </c>
      <c r="V70" s="1" t="s">
        <v>47</v>
      </c>
      <c r="W70" s="1" t="s">
        <v>48</v>
      </c>
      <c r="X70">
        <v>299.70630311810316</v>
      </c>
    </row>
    <row r="71" spans="1:24" x14ac:dyDescent="0.3">
      <c r="A71" s="1" t="s">
        <v>33</v>
      </c>
      <c r="B71" s="1" t="s">
        <v>123</v>
      </c>
      <c r="C71">
        <v>54.865528517069791</v>
      </c>
      <c r="D71">
        <v>62</v>
      </c>
      <c r="E71">
        <v>511</v>
      </c>
      <c r="F71">
        <v>1752.3810874841247</v>
      </c>
      <c r="G71" s="1" t="s">
        <v>26</v>
      </c>
      <c r="H71">
        <v>95</v>
      </c>
      <c r="I71">
        <v>1</v>
      </c>
      <c r="J71">
        <v>27</v>
      </c>
      <c r="K71">
        <v>3</v>
      </c>
      <c r="L71" s="1" t="s">
        <v>27</v>
      </c>
      <c r="M71">
        <v>9.7052867901203488</v>
      </c>
      <c r="N71" s="1" t="s">
        <v>52</v>
      </c>
      <c r="O71" s="1" t="s">
        <v>45</v>
      </c>
      <c r="P71">
        <v>9</v>
      </c>
      <c r="Q71">
        <v>862</v>
      </c>
      <c r="R71">
        <v>7</v>
      </c>
      <c r="S71">
        <v>77.627765812748166</v>
      </c>
      <c r="T71" s="1" t="s">
        <v>30</v>
      </c>
      <c r="U71">
        <v>1.3623879886491086</v>
      </c>
      <c r="V71" s="1" t="s">
        <v>40</v>
      </c>
      <c r="W71" s="1" t="s">
        <v>48</v>
      </c>
      <c r="X71">
        <v>207.66320620857562</v>
      </c>
    </row>
    <row r="72" spans="1:24" x14ac:dyDescent="0.3">
      <c r="A72" s="1" t="s">
        <v>24</v>
      </c>
      <c r="B72" s="1" t="s">
        <v>124</v>
      </c>
      <c r="C72">
        <v>47.914541824058766</v>
      </c>
      <c r="D72">
        <v>90</v>
      </c>
      <c r="E72">
        <v>32</v>
      </c>
      <c r="F72">
        <v>7014.8879872033885</v>
      </c>
      <c r="G72" s="1" t="s">
        <v>35</v>
      </c>
      <c r="H72">
        <v>10</v>
      </c>
      <c r="I72">
        <v>12</v>
      </c>
      <c r="J72">
        <v>22</v>
      </c>
      <c r="K72">
        <v>4</v>
      </c>
      <c r="L72" s="1" t="s">
        <v>27</v>
      </c>
      <c r="M72">
        <v>6.3157177546007226</v>
      </c>
      <c r="N72" s="1" t="s">
        <v>39</v>
      </c>
      <c r="O72" s="1" t="s">
        <v>53</v>
      </c>
      <c r="P72">
        <v>22</v>
      </c>
      <c r="Q72">
        <v>775</v>
      </c>
      <c r="R72">
        <v>16</v>
      </c>
      <c r="S72">
        <v>11.440781823761265</v>
      </c>
      <c r="T72" s="1" t="s">
        <v>64</v>
      </c>
      <c r="U72">
        <v>1.8305755986122314</v>
      </c>
      <c r="V72" s="1" t="s">
        <v>31</v>
      </c>
      <c r="W72" s="1" t="s">
        <v>41</v>
      </c>
      <c r="X72">
        <v>183.27289874871101</v>
      </c>
    </row>
    <row r="73" spans="1:24" x14ac:dyDescent="0.3">
      <c r="A73" s="1" t="s">
        <v>57</v>
      </c>
      <c r="B73" s="1" t="s">
        <v>125</v>
      </c>
      <c r="C73">
        <v>6.3815331627479663</v>
      </c>
      <c r="D73">
        <v>14</v>
      </c>
      <c r="E73">
        <v>637</v>
      </c>
      <c r="F73">
        <v>8180.3370854254426</v>
      </c>
      <c r="G73" s="1" t="s">
        <v>35</v>
      </c>
      <c r="H73">
        <v>76</v>
      </c>
      <c r="I73">
        <v>2</v>
      </c>
      <c r="J73">
        <v>26</v>
      </c>
      <c r="K73">
        <v>6</v>
      </c>
      <c r="L73" s="1" t="s">
        <v>36</v>
      </c>
      <c r="M73">
        <v>9.2281903170525172</v>
      </c>
      <c r="N73" s="1" t="s">
        <v>61</v>
      </c>
      <c r="O73" s="1" t="s">
        <v>53</v>
      </c>
      <c r="P73">
        <v>2</v>
      </c>
      <c r="Q73">
        <v>258</v>
      </c>
      <c r="R73">
        <v>10</v>
      </c>
      <c r="S73">
        <v>30.661677477859556</v>
      </c>
      <c r="T73" s="1" t="s">
        <v>30</v>
      </c>
      <c r="U73">
        <v>2.0787506078749689</v>
      </c>
      <c r="V73" s="1" t="s">
        <v>31</v>
      </c>
      <c r="W73" s="1" t="s">
        <v>48</v>
      </c>
      <c r="X73">
        <v>405.16706788885585</v>
      </c>
    </row>
    <row r="74" spans="1:24" x14ac:dyDescent="0.3">
      <c r="A74" s="1" t="s">
        <v>57</v>
      </c>
      <c r="B74" s="1" t="s">
        <v>126</v>
      </c>
      <c r="C74">
        <v>90.204427520528071</v>
      </c>
      <c r="D74">
        <v>88</v>
      </c>
      <c r="E74">
        <v>478</v>
      </c>
      <c r="F74">
        <v>2633.1219813122557</v>
      </c>
      <c r="G74" s="1" t="s">
        <v>26</v>
      </c>
      <c r="H74">
        <v>57</v>
      </c>
      <c r="I74">
        <v>29</v>
      </c>
      <c r="J74">
        <v>77</v>
      </c>
      <c r="K74">
        <v>9</v>
      </c>
      <c r="L74" s="1" t="s">
        <v>36</v>
      </c>
      <c r="M74">
        <v>6.5996141596895441</v>
      </c>
      <c r="N74" s="1" t="s">
        <v>39</v>
      </c>
      <c r="O74" s="1" t="s">
        <v>53</v>
      </c>
      <c r="P74">
        <v>21</v>
      </c>
      <c r="Q74">
        <v>152</v>
      </c>
      <c r="R74">
        <v>11</v>
      </c>
      <c r="S74">
        <v>55.760492895244212</v>
      </c>
      <c r="T74" s="1" t="s">
        <v>30</v>
      </c>
      <c r="U74">
        <v>3.2133296074383089</v>
      </c>
      <c r="V74" s="1" t="s">
        <v>47</v>
      </c>
      <c r="W74" s="1" t="s">
        <v>32</v>
      </c>
      <c r="X74">
        <v>677.9445698461833</v>
      </c>
    </row>
    <row r="75" spans="1:24" x14ac:dyDescent="0.3">
      <c r="A75" s="1" t="s">
        <v>57</v>
      </c>
      <c r="B75" s="1" t="s">
        <v>127</v>
      </c>
      <c r="C75">
        <v>83.851017681304597</v>
      </c>
      <c r="D75">
        <v>41</v>
      </c>
      <c r="E75">
        <v>375</v>
      </c>
      <c r="F75">
        <v>7910.8869161406856</v>
      </c>
      <c r="G75" s="1" t="s">
        <v>55</v>
      </c>
      <c r="H75">
        <v>17</v>
      </c>
      <c r="I75">
        <v>25</v>
      </c>
      <c r="J75">
        <v>66</v>
      </c>
      <c r="K75">
        <v>5</v>
      </c>
      <c r="L75" s="1" t="s">
        <v>27</v>
      </c>
      <c r="M75">
        <v>1.5129368369160772</v>
      </c>
      <c r="N75" s="1" t="s">
        <v>52</v>
      </c>
      <c r="O75" s="1" t="s">
        <v>62</v>
      </c>
      <c r="P75">
        <v>13</v>
      </c>
      <c r="Q75">
        <v>444</v>
      </c>
      <c r="R75">
        <v>4</v>
      </c>
      <c r="S75">
        <v>46.870238797617155</v>
      </c>
      <c r="T75" s="1" t="s">
        <v>46</v>
      </c>
      <c r="U75">
        <v>4.6205460645137064</v>
      </c>
      <c r="V75" s="1" t="s">
        <v>31</v>
      </c>
      <c r="W75" s="1" t="s">
        <v>48</v>
      </c>
      <c r="X75">
        <v>866.4728001296578</v>
      </c>
    </row>
    <row r="76" spans="1:24" x14ac:dyDescent="0.3">
      <c r="A76" s="1" t="s">
        <v>24</v>
      </c>
      <c r="B76" s="1" t="s">
        <v>128</v>
      </c>
      <c r="C76">
        <v>3.1700114135661548</v>
      </c>
      <c r="D76">
        <v>64</v>
      </c>
      <c r="E76">
        <v>904</v>
      </c>
      <c r="F76">
        <v>5709.9452959692871</v>
      </c>
      <c r="G76" s="1" t="s">
        <v>35</v>
      </c>
      <c r="H76">
        <v>41</v>
      </c>
      <c r="I76">
        <v>6</v>
      </c>
      <c r="J76">
        <v>1</v>
      </c>
      <c r="K76">
        <v>5</v>
      </c>
      <c r="L76" s="1" t="s">
        <v>36</v>
      </c>
      <c r="M76">
        <v>5.2376546500374479</v>
      </c>
      <c r="N76" s="1" t="s">
        <v>52</v>
      </c>
      <c r="O76" s="1" t="s">
        <v>50</v>
      </c>
      <c r="P76">
        <v>1</v>
      </c>
      <c r="Q76">
        <v>919</v>
      </c>
      <c r="R76">
        <v>9</v>
      </c>
      <c r="S76">
        <v>80.580852156447818</v>
      </c>
      <c r="T76" s="1" t="s">
        <v>46</v>
      </c>
      <c r="U76">
        <v>0.39661272410993542</v>
      </c>
      <c r="V76" s="1" t="s">
        <v>47</v>
      </c>
      <c r="W76" s="1" t="s">
        <v>48</v>
      </c>
      <c r="X76">
        <v>341.55265678322337</v>
      </c>
    </row>
    <row r="77" spans="1:24" x14ac:dyDescent="0.3">
      <c r="A77" s="1" t="s">
        <v>33</v>
      </c>
      <c r="B77" s="1" t="s">
        <v>129</v>
      </c>
      <c r="C77">
        <v>92.996884233970661</v>
      </c>
      <c r="D77">
        <v>29</v>
      </c>
      <c r="E77">
        <v>106</v>
      </c>
      <c r="F77">
        <v>1889.073589779335</v>
      </c>
      <c r="G77" s="1" t="s">
        <v>26</v>
      </c>
      <c r="H77">
        <v>16</v>
      </c>
      <c r="I77">
        <v>20</v>
      </c>
      <c r="J77">
        <v>56</v>
      </c>
      <c r="K77">
        <v>10</v>
      </c>
      <c r="L77" s="1" t="s">
        <v>43</v>
      </c>
      <c r="M77">
        <v>2.4738977610454609</v>
      </c>
      <c r="N77" s="1" t="s">
        <v>39</v>
      </c>
      <c r="O77" s="1" t="s">
        <v>62</v>
      </c>
      <c r="P77">
        <v>25</v>
      </c>
      <c r="Q77">
        <v>759</v>
      </c>
      <c r="R77">
        <v>11</v>
      </c>
      <c r="S77">
        <v>48.064782640006591</v>
      </c>
      <c r="T77" s="1" t="s">
        <v>64</v>
      </c>
      <c r="U77">
        <v>2.0300690886687516</v>
      </c>
      <c r="V77" s="1" t="s">
        <v>40</v>
      </c>
      <c r="W77" s="1" t="s">
        <v>41</v>
      </c>
      <c r="X77">
        <v>873.12964801765145</v>
      </c>
    </row>
    <row r="78" spans="1:24" x14ac:dyDescent="0.3">
      <c r="A78" s="1" t="s">
        <v>24</v>
      </c>
      <c r="B78" s="1" t="s">
        <v>130</v>
      </c>
      <c r="C78">
        <v>69.108799547430323</v>
      </c>
      <c r="D78">
        <v>23</v>
      </c>
      <c r="E78">
        <v>241</v>
      </c>
      <c r="F78">
        <v>5328.3759842977579</v>
      </c>
      <c r="G78" s="1" t="s">
        <v>55</v>
      </c>
      <c r="H78">
        <v>38</v>
      </c>
      <c r="I78">
        <v>1</v>
      </c>
      <c r="J78">
        <v>22</v>
      </c>
      <c r="K78">
        <v>10</v>
      </c>
      <c r="L78" s="1" t="s">
        <v>36</v>
      </c>
      <c r="M78">
        <v>7.0545383368369263</v>
      </c>
      <c r="N78" s="1" t="s">
        <v>61</v>
      </c>
      <c r="O78" s="1" t="s">
        <v>53</v>
      </c>
      <c r="P78">
        <v>25</v>
      </c>
      <c r="Q78">
        <v>985</v>
      </c>
      <c r="R78">
        <v>24</v>
      </c>
      <c r="S78">
        <v>64.323597795600222</v>
      </c>
      <c r="T78" s="1" t="s">
        <v>30</v>
      </c>
      <c r="U78">
        <v>2.1800374515822165</v>
      </c>
      <c r="V78" s="1" t="s">
        <v>47</v>
      </c>
      <c r="W78" s="1" t="s">
        <v>48</v>
      </c>
      <c r="X78">
        <v>997.4134501331946</v>
      </c>
    </row>
    <row r="79" spans="1:24" x14ac:dyDescent="0.3">
      <c r="A79" s="1" t="s">
        <v>24</v>
      </c>
      <c r="B79" s="1" t="s">
        <v>131</v>
      </c>
      <c r="C79">
        <v>57.449742958971477</v>
      </c>
      <c r="D79">
        <v>14</v>
      </c>
      <c r="E79">
        <v>359</v>
      </c>
      <c r="F79">
        <v>2483.7601775427947</v>
      </c>
      <c r="G79" s="1" t="s">
        <v>38</v>
      </c>
      <c r="H79">
        <v>96</v>
      </c>
      <c r="I79">
        <v>28</v>
      </c>
      <c r="J79">
        <v>57</v>
      </c>
      <c r="K79">
        <v>4</v>
      </c>
      <c r="L79" s="1" t="s">
        <v>27</v>
      </c>
      <c r="M79">
        <v>6.7809466256178954</v>
      </c>
      <c r="N79" s="1" t="s">
        <v>39</v>
      </c>
      <c r="O79" s="1" t="s">
        <v>45</v>
      </c>
      <c r="P79">
        <v>26</v>
      </c>
      <c r="Q79">
        <v>334</v>
      </c>
      <c r="R79">
        <v>5</v>
      </c>
      <c r="S79">
        <v>42.952444748991837</v>
      </c>
      <c r="T79" s="1" t="s">
        <v>64</v>
      </c>
      <c r="U79">
        <v>3.0551418183075478</v>
      </c>
      <c r="V79" s="1" t="s">
        <v>31</v>
      </c>
      <c r="W79" s="1" t="s">
        <v>32</v>
      </c>
      <c r="X79">
        <v>852.56809891984994</v>
      </c>
    </row>
    <row r="80" spans="1:24" x14ac:dyDescent="0.3">
      <c r="A80" s="1" t="s">
        <v>24</v>
      </c>
      <c r="B80" s="1" t="s">
        <v>132</v>
      </c>
      <c r="C80">
        <v>6.3068831761119197</v>
      </c>
      <c r="D80">
        <v>50</v>
      </c>
      <c r="E80">
        <v>946</v>
      </c>
      <c r="F80">
        <v>1292.4584179377562</v>
      </c>
      <c r="G80" s="1" t="s">
        <v>38</v>
      </c>
      <c r="H80">
        <v>5</v>
      </c>
      <c r="I80">
        <v>4</v>
      </c>
      <c r="J80">
        <v>51</v>
      </c>
      <c r="K80">
        <v>5</v>
      </c>
      <c r="L80" s="1" t="s">
        <v>27</v>
      </c>
      <c r="M80">
        <v>8.4670497708619905</v>
      </c>
      <c r="N80" s="1" t="s">
        <v>44</v>
      </c>
      <c r="O80" s="1" t="s">
        <v>29</v>
      </c>
      <c r="P80">
        <v>25</v>
      </c>
      <c r="Q80">
        <v>858</v>
      </c>
      <c r="R80">
        <v>21</v>
      </c>
      <c r="S80">
        <v>71.126514720403378</v>
      </c>
      <c r="T80" s="1" t="s">
        <v>30</v>
      </c>
      <c r="U80">
        <v>4.0968813324704518</v>
      </c>
      <c r="V80" s="1" t="s">
        <v>56</v>
      </c>
      <c r="W80" s="1" t="s">
        <v>41</v>
      </c>
      <c r="X80">
        <v>323.59220343132216</v>
      </c>
    </row>
    <row r="81" spans="1:24" x14ac:dyDescent="0.3">
      <c r="A81" s="1" t="s">
        <v>24</v>
      </c>
      <c r="B81" s="1" t="s">
        <v>133</v>
      </c>
      <c r="C81">
        <v>57.057031221103223</v>
      </c>
      <c r="D81">
        <v>56</v>
      </c>
      <c r="E81">
        <v>198</v>
      </c>
      <c r="F81">
        <v>7888.7232684270812</v>
      </c>
      <c r="G81" s="1" t="s">
        <v>26</v>
      </c>
      <c r="H81">
        <v>31</v>
      </c>
      <c r="I81">
        <v>25</v>
      </c>
      <c r="J81">
        <v>20</v>
      </c>
      <c r="K81">
        <v>1</v>
      </c>
      <c r="L81" s="1" t="s">
        <v>27</v>
      </c>
      <c r="M81">
        <v>6.4963253642950445</v>
      </c>
      <c r="N81" s="1" t="s">
        <v>28</v>
      </c>
      <c r="O81" s="1" t="s">
        <v>53</v>
      </c>
      <c r="P81">
        <v>5</v>
      </c>
      <c r="Q81">
        <v>228</v>
      </c>
      <c r="R81">
        <v>12</v>
      </c>
      <c r="S81">
        <v>57.87090292403628</v>
      </c>
      <c r="T81" s="1" t="s">
        <v>30</v>
      </c>
      <c r="U81">
        <v>0.16587162748060824</v>
      </c>
      <c r="V81" s="1" t="s">
        <v>40</v>
      </c>
      <c r="W81" s="1" t="s">
        <v>41</v>
      </c>
      <c r="X81">
        <v>351.50421933503867</v>
      </c>
    </row>
    <row r="82" spans="1:24" x14ac:dyDescent="0.3">
      <c r="A82" s="1" t="s">
        <v>33</v>
      </c>
      <c r="B82" s="1" t="s">
        <v>134</v>
      </c>
      <c r="C82">
        <v>91.128318350444331</v>
      </c>
      <c r="D82">
        <v>75</v>
      </c>
      <c r="E82">
        <v>872</v>
      </c>
      <c r="F82">
        <v>8651.6726829820655</v>
      </c>
      <c r="G82" s="1" t="s">
        <v>38</v>
      </c>
      <c r="H82">
        <v>39</v>
      </c>
      <c r="I82">
        <v>14</v>
      </c>
      <c r="J82">
        <v>41</v>
      </c>
      <c r="K82">
        <v>2</v>
      </c>
      <c r="L82" s="1" t="s">
        <v>43</v>
      </c>
      <c r="M82">
        <v>2.8331846794189746</v>
      </c>
      <c r="N82" s="1" t="s">
        <v>28</v>
      </c>
      <c r="O82" s="1" t="s">
        <v>62</v>
      </c>
      <c r="P82">
        <v>8</v>
      </c>
      <c r="Q82">
        <v>202</v>
      </c>
      <c r="R82">
        <v>5</v>
      </c>
      <c r="S82">
        <v>76.961228023820013</v>
      </c>
      <c r="T82" s="1" t="s">
        <v>46</v>
      </c>
      <c r="U82">
        <v>2.8496621985053308</v>
      </c>
      <c r="V82" s="1" t="s">
        <v>56</v>
      </c>
      <c r="W82" s="1" t="s">
        <v>32</v>
      </c>
      <c r="X82">
        <v>787.77985049434449</v>
      </c>
    </row>
    <row r="83" spans="1:24" x14ac:dyDescent="0.3">
      <c r="A83" s="1" t="s">
        <v>24</v>
      </c>
      <c r="B83" s="1" t="s">
        <v>135</v>
      </c>
      <c r="C83">
        <v>72.819206930318217</v>
      </c>
      <c r="D83">
        <v>9</v>
      </c>
      <c r="E83">
        <v>774</v>
      </c>
      <c r="F83">
        <v>4384.4134000458625</v>
      </c>
      <c r="G83" s="1" t="s">
        <v>38</v>
      </c>
      <c r="H83">
        <v>48</v>
      </c>
      <c r="I83">
        <v>6</v>
      </c>
      <c r="J83">
        <v>8</v>
      </c>
      <c r="K83">
        <v>5</v>
      </c>
      <c r="L83" s="1" t="s">
        <v>27</v>
      </c>
      <c r="M83">
        <v>4.0662775015120438</v>
      </c>
      <c r="N83" s="1" t="s">
        <v>28</v>
      </c>
      <c r="O83" s="1" t="s">
        <v>50</v>
      </c>
      <c r="P83">
        <v>28</v>
      </c>
      <c r="Q83">
        <v>698</v>
      </c>
      <c r="R83">
        <v>1</v>
      </c>
      <c r="S83">
        <v>19.789592941903603</v>
      </c>
      <c r="T83" s="1" t="s">
        <v>30</v>
      </c>
      <c r="U83">
        <v>2.5475471215487118</v>
      </c>
      <c r="V83" s="1" t="s">
        <v>47</v>
      </c>
      <c r="W83" s="1" t="s">
        <v>32</v>
      </c>
      <c r="X83">
        <v>276.77833594679885</v>
      </c>
    </row>
    <row r="84" spans="1:24" x14ac:dyDescent="0.3">
      <c r="A84" s="1" t="s">
        <v>33</v>
      </c>
      <c r="B84" s="1" t="s">
        <v>136</v>
      </c>
      <c r="C84">
        <v>17.034930739467917</v>
      </c>
      <c r="D84">
        <v>13</v>
      </c>
      <c r="E84">
        <v>336</v>
      </c>
      <c r="F84">
        <v>2943.3818676094515</v>
      </c>
      <c r="G84" s="1" t="s">
        <v>38</v>
      </c>
      <c r="H84">
        <v>42</v>
      </c>
      <c r="I84">
        <v>19</v>
      </c>
      <c r="J84">
        <v>72</v>
      </c>
      <c r="K84">
        <v>1</v>
      </c>
      <c r="L84" s="1" t="s">
        <v>36</v>
      </c>
      <c r="M84">
        <v>4.7081818735419301</v>
      </c>
      <c r="N84" s="1" t="s">
        <v>61</v>
      </c>
      <c r="O84" s="1" t="s">
        <v>29</v>
      </c>
      <c r="P84">
        <v>6</v>
      </c>
      <c r="Q84">
        <v>955</v>
      </c>
      <c r="R84">
        <v>26</v>
      </c>
      <c r="S84">
        <v>4.4652784349432402</v>
      </c>
      <c r="T84" s="1" t="s">
        <v>30</v>
      </c>
      <c r="U84">
        <v>4.1378770486223573</v>
      </c>
      <c r="V84" s="1" t="s">
        <v>31</v>
      </c>
      <c r="W84" s="1" t="s">
        <v>41</v>
      </c>
      <c r="X84">
        <v>589.97855562804068</v>
      </c>
    </row>
    <row r="85" spans="1:24" x14ac:dyDescent="0.3">
      <c r="A85" s="1" t="s">
        <v>24</v>
      </c>
      <c r="B85" s="1" t="s">
        <v>137</v>
      </c>
      <c r="C85">
        <v>68.911246211606326</v>
      </c>
      <c r="D85">
        <v>82</v>
      </c>
      <c r="E85">
        <v>663</v>
      </c>
      <c r="F85">
        <v>2411.754632110491</v>
      </c>
      <c r="G85" s="1" t="s">
        <v>38</v>
      </c>
      <c r="H85">
        <v>65</v>
      </c>
      <c r="I85">
        <v>24</v>
      </c>
      <c r="J85">
        <v>7</v>
      </c>
      <c r="K85">
        <v>8</v>
      </c>
      <c r="L85" s="1" t="s">
        <v>27</v>
      </c>
      <c r="M85">
        <v>4.9498395779969488</v>
      </c>
      <c r="N85" s="1" t="s">
        <v>39</v>
      </c>
      <c r="O85" s="1" t="s">
        <v>53</v>
      </c>
      <c r="P85">
        <v>20</v>
      </c>
      <c r="Q85">
        <v>443</v>
      </c>
      <c r="R85">
        <v>5</v>
      </c>
      <c r="S85">
        <v>97.730593800533043</v>
      </c>
      <c r="T85" s="1" t="s">
        <v>46</v>
      </c>
      <c r="U85">
        <v>0.77300613406724783</v>
      </c>
      <c r="V85" s="1" t="s">
        <v>31</v>
      </c>
      <c r="W85" s="1" t="s">
        <v>48</v>
      </c>
      <c r="X85">
        <v>682.97101822609329</v>
      </c>
    </row>
    <row r="86" spans="1:24" x14ac:dyDescent="0.3">
      <c r="A86" s="1" t="s">
        <v>24</v>
      </c>
      <c r="B86" s="1" t="s">
        <v>138</v>
      </c>
      <c r="C86">
        <v>89.104367292102253</v>
      </c>
      <c r="D86">
        <v>99</v>
      </c>
      <c r="E86">
        <v>618</v>
      </c>
      <c r="F86">
        <v>2048.2900998487103</v>
      </c>
      <c r="G86" s="1" t="s">
        <v>38</v>
      </c>
      <c r="H86">
        <v>73</v>
      </c>
      <c r="I86">
        <v>26</v>
      </c>
      <c r="J86">
        <v>80</v>
      </c>
      <c r="K86">
        <v>10</v>
      </c>
      <c r="L86" s="1" t="s">
        <v>36</v>
      </c>
      <c r="M86">
        <v>8.381615624922631</v>
      </c>
      <c r="N86" s="1" t="s">
        <v>44</v>
      </c>
      <c r="O86" s="1" t="s">
        <v>62</v>
      </c>
      <c r="P86">
        <v>24</v>
      </c>
      <c r="Q86">
        <v>589</v>
      </c>
      <c r="R86">
        <v>22</v>
      </c>
      <c r="S86">
        <v>33.808636513209095</v>
      </c>
      <c r="T86" s="1" t="s">
        <v>64</v>
      </c>
      <c r="U86">
        <v>4.8434565771180411</v>
      </c>
      <c r="V86" s="1" t="s">
        <v>40</v>
      </c>
      <c r="W86" s="1" t="s">
        <v>32</v>
      </c>
      <c r="X86">
        <v>465.45700596368795</v>
      </c>
    </row>
    <row r="87" spans="1:24" x14ac:dyDescent="0.3">
      <c r="A87" s="1" t="s">
        <v>57</v>
      </c>
      <c r="B87" s="1" t="s">
        <v>139</v>
      </c>
      <c r="C87">
        <v>76.962994415193876</v>
      </c>
      <c r="D87">
        <v>83</v>
      </c>
      <c r="E87">
        <v>25</v>
      </c>
      <c r="F87">
        <v>8684.6130592538575</v>
      </c>
      <c r="G87" s="1" t="s">
        <v>35</v>
      </c>
      <c r="H87">
        <v>15</v>
      </c>
      <c r="I87">
        <v>18</v>
      </c>
      <c r="J87">
        <v>66</v>
      </c>
      <c r="K87">
        <v>2</v>
      </c>
      <c r="L87" s="1" t="s">
        <v>43</v>
      </c>
      <c r="M87">
        <v>8.2491687048717282</v>
      </c>
      <c r="N87" s="1" t="s">
        <v>44</v>
      </c>
      <c r="O87" s="1" t="s">
        <v>62</v>
      </c>
      <c r="P87">
        <v>4</v>
      </c>
      <c r="Q87">
        <v>211</v>
      </c>
      <c r="R87">
        <v>2</v>
      </c>
      <c r="S87">
        <v>69.929345518672307</v>
      </c>
      <c r="T87" s="1" t="s">
        <v>46</v>
      </c>
      <c r="U87">
        <v>1.3744289997457582</v>
      </c>
      <c r="V87" s="1" t="s">
        <v>31</v>
      </c>
      <c r="W87" s="1" t="s">
        <v>32</v>
      </c>
      <c r="X87">
        <v>842.68683000464148</v>
      </c>
    </row>
    <row r="88" spans="1:24" x14ac:dyDescent="0.3">
      <c r="A88" s="1" t="s">
        <v>33</v>
      </c>
      <c r="B88" s="1" t="s">
        <v>140</v>
      </c>
      <c r="C88">
        <v>19.998176940404221</v>
      </c>
      <c r="D88">
        <v>18</v>
      </c>
      <c r="E88">
        <v>223</v>
      </c>
      <c r="F88">
        <v>1229.5910285649834</v>
      </c>
      <c r="G88" s="1" t="s">
        <v>38</v>
      </c>
      <c r="H88">
        <v>32</v>
      </c>
      <c r="I88">
        <v>14</v>
      </c>
      <c r="J88">
        <v>22</v>
      </c>
      <c r="K88">
        <v>6</v>
      </c>
      <c r="L88" s="1" t="s">
        <v>27</v>
      </c>
      <c r="M88">
        <v>1.4543053101535515</v>
      </c>
      <c r="N88" s="1" t="s">
        <v>39</v>
      </c>
      <c r="O88" s="1" t="s">
        <v>29</v>
      </c>
      <c r="P88">
        <v>4</v>
      </c>
      <c r="Q88">
        <v>569</v>
      </c>
      <c r="R88">
        <v>18</v>
      </c>
      <c r="S88">
        <v>74.608969995194684</v>
      </c>
      <c r="T88" s="1" t="s">
        <v>64</v>
      </c>
      <c r="U88">
        <v>2.0515129307662465</v>
      </c>
      <c r="V88" s="1" t="s">
        <v>47</v>
      </c>
      <c r="W88" s="1" t="s">
        <v>48</v>
      </c>
      <c r="X88">
        <v>264.25488983586649</v>
      </c>
    </row>
    <row r="89" spans="1:24" x14ac:dyDescent="0.3">
      <c r="A89" s="1" t="s">
        <v>24</v>
      </c>
      <c r="B89" s="1" t="s">
        <v>141</v>
      </c>
      <c r="C89">
        <v>80.41403665035574</v>
      </c>
      <c r="D89">
        <v>24</v>
      </c>
      <c r="E89">
        <v>79</v>
      </c>
      <c r="F89">
        <v>5133.8467010866916</v>
      </c>
      <c r="G89" s="1" t="s">
        <v>55</v>
      </c>
      <c r="H89">
        <v>5</v>
      </c>
      <c r="I89">
        <v>7</v>
      </c>
      <c r="J89">
        <v>55</v>
      </c>
      <c r="K89">
        <v>10</v>
      </c>
      <c r="L89" s="1" t="s">
        <v>36</v>
      </c>
      <c r="M89">
        <v>6.5758037975485353</v>
      </c>
      <c r="N89" s="1" t="s">
        <v>28</v>
      </c>
      <c r="O89" s="1" t="s">
        <v>62</v>
      </c>
      <c r="P89">
        <v>27</v>
      </c>
      <c r="Q89">
        <v>523</v>
      </c>
      <c r="R89">
        <v>17</v>
      </c>
      <c r="S89">
        <v>28.69699682414317</v>
      </c>
      <c r="T89" s="1" t="s">
        <v>46</v>
      </c>
      <c r="U89">
        <v>3.6937377878392756</v>
      </c>
      <c r="V89" s="1" t="s">
        <v>56</v>
      </c>
      <c r="W89" s="1" t="s">
        <v>32</v>
      </c>
      <c r="X89">
        <v>879.3592177349243</v>
      </c>
    </row>
    <row r="90" spans="1:24" x14ac:dyDescent="0.3">
      <c r="A90" s="1" t="s">
        <v>57</v>
      </c>
      <c r="B90" s="1" t="s">
        <v>142</v>
      </c>
      <c r="C90">
        <v>75.27040697572501</v>
      </c>
      <c r="D90">
        <v>58</v>
      </c>
      <c r="E90">
        <v>737</v>
      </c>
      <c r="F90">
        <v>9444.7420330629793</v>
      </c>
      <c r="G90" s="1" t="s">
        <v>55</v>
      </c>
      <c r="H90">
        <v>60</v>
      </c>
      <c r="I90">
        <v>18</v>
      </c>
      <c r="J90">
        <v>85</v>
      </c>
      <c r="K90">
        <v>7</v>
      </c>
      <c r="L90" s="1" t="s">
        <v>36</v>
      </c>
      <c r="M90">
        <v>3.8012531329310777</v>
      </c>
      <c r="N90" s="1" t="s">
        <v>61</v>
      </c>
      <c r="O90" s="1" t="s">
        <v>29</v>
      </c>
      <c r="P90">
        <v>21</v>
      </c>
      <c r="Q90">
        <v>953</v>
      </c>
      <c r="R90">
        <v>11</v>
      </c>
      <c r="S90">
        <v>68.184919057041171</v>
      </c>
      <c r="T90" s="1" t="s">
        <v>30</v>
      </c>
      <c r="U90">
        <v>0.722204401882931</v>
      </c>
      <c r="V90" s="1" t="s">
        <v>56</v>
      </c>
      <c r="W90" s="1" t="s">
        <v>48</v>
      </c>
      <c r="X90">
        <v>103.91624796070495</v>
      </c>
    </row>
    <row r="91" spans="1:24" x14ac:dyDescent="0.3">
      <c r="A91" s="1" t="s">
        <v>57</v>
      </c>
      <c r="B91" s="1" t="s">
        <v>143</v>
      </c>
      <c r="C91">
        <v>97.760085581938668</v>
      </c>
      <c r="D91">
        <v>10</v>
      </c>
      <c r="E91">
        <v>134</v>
      </c>
      <c r="F91">
        <v>5924.682566853231</v>
      </c>
      <c r="G91" s="1" t="s">
        <v>38</v>
      </c>
      <c r="H91">
        <v>90</v>
      </c>
      <c r="I91">
        <v>1</v>
      </c>
      <c r="J91">
        <v>27</v>
      </c>
      <c r="K91">
        <v>8</v>
      </c>
      <c r="L91" s="1" t="s">
        <v>27</v>
      </c>
      <c r="M91">
        <v>9.9298162452772587</v>
      </c>
      <c r="N91" s="1" t="s">
        <v>39</v>
      </c>
      <c r="O91" s="1" t="s">
        <v>45</v>
      </c>
      <c r="P91">
        <v>23</v>
      </c>
      <c r="Q91">
        <v>370</v>
      </c>
      <c r="R91">
        <v>11</v>
      </c>
      <c r="S91">
        <v>46.603873381644469</v>
      </c>
      <c r="T91" s="1" t="s">
        <v>30</v>
      </c>
      <c r="U91">
        <v>1.9076657339590746</v>
      </c>
      <c r="V91" s="1" t="s">
        <v>47</v>
      </c>
      <c r="W91" s="1" t="s">
        <v>32</v>
      </c>
      <c r="X91">
        <v>517.4999739290605</v>
      </c>
    </row>
    <row r="92" spans="1:24" x14ac:dyDescent="0.3">
      <c r="A92" s="1" t="s">
        <v>33</v>
      </c>
      <c r="B92" s="1" t="s">
        <v>144</v>
      </c>
      <c r="C92">
        <v>13.881913501359142</v>
      </c>
      <c r="D92">
        <v>56</v>
      </c>
      <c r="E92">
        <v>320</v>
      </c>
      <c r="F92">
        <v>9592.6335702803117</v>
      </c>
      <c r="G92" s="1" t="s">
        <v>26</v>
      </c>
      <c r="H92">
        <v>66</v>
      </c>
      <c r="I92">
        <v>18</v>
      </c>
      <c r="J92">
        <v>96</v>
      </c>
      <c r="K92">
        <v>7</v>
      </c>
      <c r="L92" s="1" t="s">
        <v>27</v>
      </c>
      <c r="M92">
        <v>7.6744307081126939</v>
      </c>
      <c r="N92" s="1" t="s">
        <v>28</v>
      </c>
      <c r="O92" s="1" t="s">
        <v>53</v>
      </c>
      <c r="P92">
        <v>8</v>
      </c>
      <c r="Q92">
        <v>585</v>
      </c>
      <c r="R92">
        <v>8</v>
      </c>
      <c r="S92">
        <v>85.675963335797974</v>
      </c>
      <c r="T92" s="1" t="s">
        <v>64</v>
      </c>
      <c r="U92">
        <v>1.2193822244013885</v>
      </c>
      <c r="V92" s="1" t="s">
        <v>47</v>
      </c>
      <c r="W92" s="1" t="s">
        <v>32</v>
      </c>
      <c r="X92">
        <v>990.07847250581119</v>
      </c>
    </row>
    <row r="93" spans="1:24" x14ac:dyDescent="0.3">
      <c r="A93" s="1" t="s">
        <v>57</v>
      </c>
      <c r="B93" s="1" t="s">
        <v>145</v>
      </c>
      <c r="C93">
        <v>62.111965463961788</v>
      </c>
      <c r="D93">
        <v>90</v>
      </c>
      <c r="E93">
        <v>916</v>
      </c>
      <c r="F93">
        <v>1935.2067935075991</v>
      </c>
      <c r="G93" s="1" t="s">
        <v>55</v>
      </c>
      <c r="H93">
        <v>98</v>
      </c>
      <c r="I93">
        <v>22</v>
      </c>
      <c r="J93">
        <v>85</v>
      </c>
      <c r="K93">
        <v>7</v>
      </c>
      <c r="L93" s="1" t="s">
        <v>27</v>
      </c>
      <c r="M93">
        <v>7.4715140844011456</v>
      </c>
      <c r="N93" s="1" t="s">
        <v>52</v>
      </c>
      <c r="O93" s="1" t="s">
        <v>50</v>
      </c>
      <c r="P93">
        <v>5</v>
      </c>
      <c r="Q93">
        <v>207</v>
      </c>
      <c r="R93">
        <v>28</v>
      </c>
      <c r="S93">
        <v>39.772882502339975</v>
      </c>
      <c r="T93" s="1" t="s">
        <v>30</v>
      </c>
      <c r="U93">
        <v>0.62600185820939458</v>
      </c>
      <c r="V93" s="1" t="s">
        <v>47</v>
      </c>
      <c r="W93" s="1" t="s">
        <v>32</v>
      </c>
      <c r="X93">
        <v>996.77831495062378</v>
      </c>
    </row>
    <row r="94" spans="1:24" x14ac:dyDescent="0.3">
      <c r="A94" s="1" t="s">
        <v>57</v>
      </c>
      <c r="B94" s="1" t="s">
        <v>146</v>
      </c>
      <c r="C94">
        <v>47.714233075820232</v>
      </c>
      <c r="D94">
        <v>44</v>
      </c>
      <c r="E94">
        <v>276</v>
      </c>
      <c r="F94">
        <v>2100.1297546259366</v>
      </c>
      <c r="G94" s="1" t="s">
        <v>55</v>
      </c>
      <c r="H94">
        <v>90</v>
      </c>
      <c r="I94">
        <v>25</v>
      </c>
      <c r="J94">
        <v>10</v>
      </c>
      <c r="K94">
        <v>8</v>
      </c>
      <c r="L94" s="1" t="s">
        <v>27</v>
      </c>
      <c r="M94">
        <v>4.4695000261236011</v>
      </c>
      <c r="N94" s="1" t="s">
        <v>61</v>
      </c>
      <c r="O94" s="1" t="s">
        <v>29</v>
      </c>
      <c r="P94">
        <v>4</v>
      </c>
      <c r="Q94">
        <v>671</v>
      </c>
      <c r="R94">
        <v>29</v>
      </c>
      <c r="S94">
        <v>62.612690395614344</v>
      </c>
      <c r="T94" s="1" t="s">
        <v>64</v>
      </c>
      <c r="U94">
        <v>0.33343182522473924</v>
      </c>
      <c r="V94" s="1" t="s">
        <v>47</v>
      </c>
      <c r="W94" s="1" t="s">
        <v>32</v>
      </c>
      <c r="X94">
        <v>230.09278253676294</v>
      </c>
    </row>
    <row r="95" spans="1:24" x14ac:dyDescent="0.3">
      <c r="A95" s="1" t="s">
        <v>24</v>
      </c>
      <c r="B95" s="1" t="s">
        <v>147</v>
      </c>
      <c r="C95">
        <v>69.290831002905492</v>
      </c>
      <c r="D95">
        <v>88</v>
      </c>
      <c r="E95">
        <v>114</v>
      </c>
      <c r="F95">
        <v>4531.4021336919095</v>
      </c>
      <c r="G95" s="1" t="s">
        <v>38</v>
      </c>
      <c r="H95">
        <v>63</v>
      </c>
      <c r="I95">
        <v>17</v>
      </c>
      <c r="J95">
        <v>66</v>
      </c>
      <c r="K95">
        <v>1</v>
      </c>
      <c r="L95" s="1" t="s">
        <v>43</v>
      </c>
      <c r="M95">
        <v>7.0064320590043945</v>
      </c>
      <c r="N95" s="1" t="s">
        <v>52</v>
      </c>
      <c r="O95" s="1" t="s">
        <v>62</v>
      </c>
      <c r="P95">
        <v>21</v>
      </c>
      <c r="Q95">
        <v>824</v>
      </c>
      <c r="R95">
        <v>20</v>
      </c>
      <c r="S95">
        <v>35.633652343343876</v>
      </c>
      <c r="T95" s="1" t="s">
        <v>46</v>
      </c>
      <c r="U95">
        <v>4.1657817954241452</v>
      </c>
      <c r="V95" s="1" t="s">
        <v>40</v>
      </c>
      <c r="W95" s="1" t="s">
        <v>48</v>
      </c>
      <c r="X95">
        <v>823.52384588815585</v>
      </c>
    </row>
    <row r="96" spans="1:24" x14ac:dyDescent="0.3">
      <c r="A96" s="1" t="s">
        <v>57</v>
      </c>
      <c r="B96" s="1" t="s">
        <v>148</v>
      </c>
      <c r="C96">
        <v>3.0376887246314141</v>
      </c>
      <c r="D96">
        <v>97</v>
      </c>
      <c r="E96">
        <v>987</v>
      </c>
      <c r="F96">
        <v>7888.3565466618729</v>
      </c>
      <c r="G96" s="1" t="s">
        <v>38</v>
      </c>
      <c r="H96">
        <v>77</v>
      </c>
      <c r="I96">
        <v>26</v>
      </c>
      <c r="J96">
        <v>72</v>
      </c>
      <c r="K96">
        <v>9</v>
      </c>
      <c r="L96" s="1" t="s">
        <v>27</v>
      </c>
      <c r="M96">
        <v>6.9429459420325808</v>
      </c>
      <c r="N96" s="1" t="s">
        <v>61</v>
      </c>
      <c r="O96" s="1" t="s">
        <v>50</v>
      </c>
      <c r="P96">
        <v>12</v>
      </c>
      <c r="Q96">
        <v>908</v>
      </c>
      <c r="R96">
        <v>14</v>
      </c>
      <c r="S96">
        <v>60.387378614862122</v>
      </c>
      <c r="T96" s="1" t="s">
        <v>64</v>
      </c>
      <c r="U96">
        <v>1.4636074984727798</v>
      </c>
      <c r="V96" s="1" t="s">
        <v>47</v>
      </c>
      <c r="W96" s="1" t="s">
        <v>32</v>
      </c>
      <c r="X96">
        <v>846.66525698669477</v>
      </c>
    </row>
    <row r="97" spans="1:24" x14ac:dyDescent="0.3">
      <c r="A97" s="1" t="s">
        <v>24</v>
      </c>
      <c r="B97" s="1" t="s">
        <v>149</v>
      </c>
      <c r="C97">
        <v>77.903927219447752</v>
      </c>
      <c r="D97">
        <v>65</v>
      </c>
      <c r="E97">
        <v>672</v>
      </c>
      <c r="F97">
        <v>7386.3639440486641</v>
      </c>
      <c r="G97" s="1" t="s">
        <v>38</v>
      </c>
      <c r="H97">
        <v>15</v>
      </c>
      <c r="I97">
        <v>14</v>
      </c>
      <c r="J97">
        <v>26</v>
      </c>
      <c r="K97">
        <v>9</v>
      </c>
      <c r="L97" s="1" t="s">
        <v>27</v>
      </c>
      <c r="M97">
        <v>8.6303388696027543</v>
      </c>
      <c r="N97" s="1" t="s">
        <v>52</v>
      </c>
      <c r="O97" s="1" t="s">
        <v>29</v>
      </c>
      <c r="P97">
        <v>18</v>
      </c>
      <c r="Q97">
        <v>450</v>
      </c>
      <c r="R97">
        <v>26</v>
      </c>
      <c r="S97">
        <v>58.890685768589982</v>
      </c>
      <c r="T97" s="1" t="s">
        <v>30</v>
      </c>
      <c r="U97">
        <v>1.2108821295850665</v>
      </c>
      <c r="V97" s="1" t="s">
        <v>40</v>
      </c>
      <c r="W97" s="1" t="s">
        <v>48</v>
      </c>
      <c r="X97">
        <v>778.8642413766479</v>
      </c>
    </row>
    <row r="98" spans="1:24" x14ac:dyDescent="0.3">
      <c r="A98" s="1" t="s">
        <v>57</v>
      </c>
      <c r="B98" s="1" t="s">
        <v>150</v>
      </c>
      <c r="C98">
        <v>24.42313142037338</v>
      </c>
      <c r="D98">
        <v>29</v>
      </c>
      <c r="E98">
        <v>324</v>
      </c>
      <c r="F98">
        <v>7698.4247656321168</v>
      </c>
      <c r="G98" s="1" t="s">
        <v>26</v>
      </c>
      <c r="H98">
        <v>67</v>
      </c>
      <c r="I98">
        <v>2</v>
      </c>
      <c r="J98">
        <v>32</v>
      </c>
      <c r="K98">
        <v>3</v>
      </c>
      <c r="L98" s="1" t="s">
        <v>43</v>
      </c>
      <c r="M98">
        <v>5.3528780439968093</v>
      </c>
      <c r="N98" s="1" t="s">
        <v>28</v>
      </c>
      <c r="O98" s="1" t="s">
        <v>29</v>
      </c>
      <c r="P98">
        <v>28</v>
      </c>
      <c r="Q98">
        <v>648</v>
      </c>
      <c r="R98">
        <v>28</v>
      </c>
      <c r="S98">
        <v>17.80375633139127</v>
      </c>
      <c r="T98" s="1" t="s">
        <v>30</v>
      </c>
      <c r="U98">
        <v>3.8720476814821332</v>
      </c>
      <c r="V98" s="1" t="s">
        <v>31</v>
      </c>
      <c r="W98" s="1" t="s">
        <v>48</v>
      </c>
      <c r="X98">
        <v>188.74214114905698</v>
      </c>
    </row>
    <row r="99" spans="1:24" x14ac:dyDescent="0.3">
      <c r="A99" s="1" t="s">
        <v>24</v>
      </c>
      <c r="B99" s="1" t="s">
        <v>151</v>
      </c>
      <c r="C99">
        <v>3.5261112591434158</v>
      </c>
      <c r="D99">
        <v>56</v>
      </c>
      <c r="E99">
        <v>62</v>
      </c>
      <c r="F99">
        <v>4370.9165799845359</v>
      </c>
      <c r="G99" s="1" t="s">
        <v>55</v>
      </c>
      <c r="H99">
        <v>46</v>
      </c>
      <c r="I99">
        <v>19</v>
      </c>
      <c r="J99">
        <v>4</v>
      </c>
      <c r="K99">
        <v>9</v>
      </c>
      <c r="L99" s="1" t="s">
        <v>36</v>
      </c>
      <c r="M99">
        <v>7.9048456112096748</v>
      </c>
      <c r="N99" s="1" t="s">
        <v>52</v>
      </c>
      <c r="O99" s="1" t="s">
        <v>29</v>
      </c>
      <c r="P99">
        <v>10</v>
      </c>
      <c r="Q99">
        <v>535</v>
      </c>
      <c r="R99">
        <v>13</v>
      </c>
      <c r="S99">
        <v>65.765155926367456</v>
      </c>
      <c r="T99" s="1" t="s">
        <v>46</v>
      </c>
      <c r="U99">
        <v>3.3762378347179811</v>
      </c>
      <c r="V99" s="1" t="s">
        <v>31</v>
      </c>
      <c r="W99" s="1" t="s">
        <v>48</v>
      </c>
      <c r="X99">
        <v>540.13242286796776</v>
      </c>
    </row>
    <row r="100" spans="1:24" x14ac:dyDescent="0.3">
      <c r="A100" s="1" t="s">
        <v>33</v>
      </c>
      <c r="B100" s="1" t="s">
        <v>152</v>
      </c>
      <c r="C100">
        <v>19.754604866878601</v>
      </c>
      <c r="D100">
        <v>43</v>
      </c>
      <c r="E100">
        <v>913</v>
      </c>
      <c r="F100">
        <v>8525.9525596835265</v>
      </c>
      <c r="G100" s="1" t="s">
        <v>35</v>
      </c>
      <c r="H100">
        <v>53</v>
      </c>
      <c r="I100">
        <v>1</v>
      </c>
      <c r="J100">
        <v>27</v>
      </c>
      <c r="K100">
        <v>7</v>
      </c>
      <c r="L100" s="1" t="s">
        <v>27</v>
      </c>
      <c r="M100">
        <v>1.4098010951380731</v>
      </c>
      <c r="N100" s="1" t="s">
        <v>44</v>
      </c>
      <c r="O100" s="1" t="s">
        <v>62</v>
      </c>
      <c r="P100">
        <v>28</v>
      </c>
      <c r="Q100">
        <v>581</v>
      </c>
      <c r="R100">
        <v>9</v>
      </c>
      <c r="S100">
        <v>5.604690864371781</v>
      </c>
      <c r="T100" s="1" t="s">
        <v>30</v>
      </c>
      <c r="U100">
        <v>2.9081221693512611</v>
      </c>
      <c r="V100" s="1" t="s">
        <v>47</v>
      </c>
      <c r="W100" s="1" t="s">
        <v>48</v>
      </c>
      <c r="X100">
        <v>882.19886354704147</v>
      </c>
    </row>
    <row r="101" spans="1:24" x14ac:dyDescent="0.3">
      <c r="A101" s="1" t="s">
        <v>24</v>
      </c>
      <c r="B101" s="1" t="s">
        <v>153</v>
      </c>
      <c r="C101">
        <v>68.517832699276639</v>
      </c>
      <c r="D101">
        <v>17</v>
      </c>
      <c r="E101">
        <v>627</v>
      </c>
      <c r="F101">
        <v>9185.1858291817043</v>
      </c>
      <c r="G101" s="1" t="s">
        <v>38</v>
      </c>
      <c r="H101">
        <v>55</v>
      </c>
      <c r="I101">
        <v>8</v>
      </c>
      <c r="J101">
        <v>59</v>
      </c>
      <c r="K101">
        <v>6</v>
      </c>
      <c r="L101" s="1" t="s">
        <v>27</v>
      </c>
      <c r="M101">
        <v>1.3110237561206226</v>
      </c>
      <c r="N101" s="1" t="s">
        <v>61</v>
      </c>
      <c r="O101" s="1" t="s">
        <v>62</v>
      </c>
      <c r="P101">
        <v>29</v>
      </c>
      <c r="Q101">
        <v>921</v>
      </c>
      <c r="R101">
        <v>2</v>
      </c>
      <c r="S101">
        <v>38.07289852062604</v>
      </c>
      <c r="T101" s="1" t="s">
        <v>46</v>
      </c>
      <c r="U101">
        <v>0.34602729070550342</v>
      </c>
      <c r="V101" s="1" t="s">
        <v>47</v>
      </c>
      <c r="W101" s="1" t="s">
        <v>32</v>
      </c>
      <c r="X101">
        <v>210.74300896424614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725A8-3B36-4EFB-8ED8-60E36E0B39D3}">
  <dimension ref="A1:AF101"/>
  <sheetViews>
    <sheetView tabSelected="1" workbookViewId="0">
      <pane ySplit="1" topLeftCell="A2" activePane="bottomLeft" state="frozen"/>
      <selection pane="bottomLeft" activeCell="F11" sqref="F11"/>
    </sheetView>
  </sheetViews>
  <sheetFormatPr defaultColWidth="10.6640625" defaultRowHeight="14.4" x14ac:dyDescent="0.3"/>
  <cols>
    <col min="1" max="1" width="14.44140625" bestFit="1" customWidth="1"/>
    <col min="2" max="2" width="6.6640625" bestFit="1" customWidth="1"/>
    <col min="3" max="3" width="7.33203125" style="14" bestFit="1" customWidth="1"/>
    <col min="4" max="4" width="12.44140625" bestFit="1" customWidth="1"/>
    <col min="5" max="5" width="24.44140625" style="11" bestFit="1" customWidth="1"/>
    <col min="6" max="6" width="19.77734375" style="26" bestFit="1" customWidth="1"/>
    <col min="7" max="7" width="24" bestFit="1" customWidth="1"/>
    <col min="8" max="8" width="13" bestFit="1" customWidth="1"/>
    <col min="9" max="9" width="17.33203125" bestFit="1" customWidth="1"/>
    <col min="10" max="10" width="16.88671875" bestFit="1" customWidth="1"/>
    <col min="11" max="11" width="15.6640625" bestFit="1" customWidth="1"/>
    <col min="12" max="12" width="17.21875" bestFit="1" customWidth="1"/>
    <col min="13" max="13" width="15.33203125" style="26" bestFit="1" customWidth="1"/>
    <col min="14" max="14" width="15.44140625" bestFit="1" customWidth="1"/>
    <col min="15" max="15" width="10.44140625" bestFit="1" customWidth="1"/>
    <col min="16" max="16" width="11.44140625" bestFit="1" customWidth="1"/>
    <col min="17" max="17" width="20.33203125" bestFit="1" customWidth="1"/>
    <col min="18" max="18" width="24.33203125" bestFit="1" customWidth="1"/>
    <col min="19" max="19" width="20.6640625" style="26" bestFit="1" customWidth="1"/>
    <col min="20" max="20" width="18" bestFit="1" customWidth="1"/>
    <col min="21" max="21" width="13.21875" style="44" bestFit="1" customWidth="1"/>
    <col min="22" max="22" width="22" bestFit="1" customWidth="1"/>
    <col min="23" max="23" width="9" bestFit="1" customWidth="1"/>
    <col min="24" max="24" width="7.6640625" style="26" bestFit="1" customWidth="1"/>
    <col min="25" max="25" width="9" style="14" bestFit="1" customWidth="1"/>
    <col min="26" max="26" width="16.21875" style="33" bestFit="1" customWidth="1"/>
    <col min="27" max="27" width="11.6640625" bestFit="1" customWidth="1"/>
    <col min="28" max="28" width="14.109375" bestFit="1" customWidth="1"/>
    <col min="29" max="29" width="16.77734375" bestFit="1" customWidth="1"/>
    <col min="30" max="30" width="16.5546875" bestFit="1" customWidth="1"/>
    <col min="31" max="31" width="22.109375" style="26" bestFit="1" customWidth="1"/>
    <col min="32" max="32" width="25.5546875" bestFit="1" customWidth="1"/>
  </cols>
  <sheetData>
    <row r="1" spans="1:32" x14ac:dyDescent="0.3">
      <c r="A1" t="s">
        <v>158</v>
      </c>
      <c r="B1" t="s">
        <v>1</v>
      </c>
      <c r="C1" s="14" t="s">
        <v>2</v>
      </c>
      <c r="D1" t="s">
        <v>3</v>
      </c>
      <c r="E1" s="21" t="s">
        <v>4</v>
      </c>
      <c r="F1" s="26" t="s">
        <v>5</v>
      </c>
      <c r="G1" t="s">
        <v>6</v>
      </c>
      <c r="H1" t="s">
        <v>7</v>
      </c>
      <c r="I1" t="s">
        <v>154</v>
      </c>
      <c r="J1" t="s">
        <v>9</v>
      </c>
      <c r="K1" t="s">
        <v>10</v>
      </c>
      <c r="L1" t="s">
        <v>11</v>
      </c>
      <c r="M1" s="26" t="s">
        <v>12</v>
      </c>
      <c r="N1" t="s">
        <v>13</v>
      </c>
      <c r="O1" t="s">
        <v>14</v>
      </c>
      <c r="P1" t="s">
        <v>15</v>
      </c>
      <c r="Q1" t="s">
        <v>16</v>
      </c>
      <c r="R1" t="s">
        <v>17</v>
      </c>
      <c r="S1" s="26" t="s">
        <v>18</v>
      </c>
      <c r="T1" t="s">
        <v>19</v>
      </c>
      <c r="U1" s="44" t="s">
        <v>20</v>
      </c>
      <c r="V1" t="s">
        <v>21</v>
      </c>
      <c r="W1" t="s">
        <v>22</v>
      </c>
      <c r="X1" s="26" t="s">
        <v>23</v>
      </c>
      <c r="Y1" s="14" t="s">
        <v>159</v>
      </c>
      <c r="Z1" s="33" t="s">
        <v>160</v>
      </c>
      <c r="AA1" t="s">
        <v>161</v>
      </c>
      <c r="AB1" t="s">
        <v>169</v>
      </c>
      <c r="AC1" t="s">
        <v>170</v>
      </c>
      <c r="AD1" t="s">
        <v>171</v>
      </c>
      <c r="AE1" s="26" t="s">
        <v>172</v>
      </c>
      <c r="AF1" t="s">
        <v>188</v>
      </c>
    </row>
    <row r="2" spans="1:32" x14ac:dyDescent="0.3">
      <c r="A2" s="12" t="s">
        <v>156</v>
      </c>
      <c r="B2" s="17" t="s">
        <v>96</v>
      </c>
      <c r="C2" s="18">
        <v>46.529167614516773</v>
      </c>
      <c r="D2" s="20">
        <v>98</v>
      </c>
      <c r="E2" s="25">
        <v>155</v>
      </c>
      <c r="F2" s="27">
        <v>1839.6094258567639</v>
      </c>
      <c r="G2" s="17" t="s">
        <v>35</v>
      </c>
      <c r="H2" s="20">
        <v>22</v>
      </c>
      <c r="I2" s="20">
        <v>27</v>
      </c>
      <c r="J2" s="20">
        <v>57</v>
      </c>
      <c r="K2" s="20">
        <v>4</v>
      </c>
      <c r="L2" s="17" t="s">
        <v>43</v>
      </c>
      <c r="M2" s="27">
        <v>7.5262483268515084</v>
      </c>
      <c r="N2" s="17" t="s">
        <v>44</v>
      </c>
      <c r="O2" s="17" t="s">
        <v>53</v>
      </c>
      <c r="P2" s="20">
        <v>26</v>
      </c>
      <c r="Q2" s="20">
        <v>179</v>
      </c>
      <c r="R2" s="20">
        <v>7</v>
      </c>
      <c r="S2" s="27">
        <v>96.422820639571867</v>
      </c>
      <c r="T2" s="17" t="s">
        <v>46</v>
      </c>
      <c r="U2" s="34">
        <v>4.939255288620948E-2</v>
      </c>
      <c r="V2" s="17" t="s">
        <v>31</v>
      </c>
      <c r="W2" s="17" t="s">
        <v>48</v>
      </c>
      <c r="X2" s="27">
        <v>635.65712050199204</v>
      </c>
      <c r="Y2" s="45">
        <f t="shared" ref="Y2:Y33" si="0" xml:space="preserve"> F2 -X2</f>
        <v>1203.9523053547719</v>
      </c>
      <c r="Z2" s="47">
        <f>(Table3[[#This Row],[Revenue generated]]-Table3[[#This Row],[Costs]])/Table3[[#This Row],[Revenue generated]]</f>
        <v>0.65446082653879289</v>
      </c>
      <c r="AA2" s="46" t="str">
        <f>IF(Table3[[#This Row],[Stock levels]]&lt;Table3[[#This Row],[Order quantities]]*0.2,"Critical",IF(Table3[[#This Row],[Stock levels]]&lt;Table3[[#This Row],[Order quantities]]*0.5,"low","Adquate"))</f>
        <v>low</v>
      </c>
      <c r="AB2" s="46" t="str">
        <f>IF( F2 &gt;=Calculations!$B$3,"High",
   IF(F2 &gt;=Calculations!$B$2,"Medium",
   "Low"))</f>
        <v>Low</v>
      </c>
      <c r="AC2" s="46" t="str">
        <f>_xlfn.IFS(Table3[[#This Row],[Defect rates]] &lt; 0.02,"Excellent",Table3[[#This Row],[Defect rates]] &lt; 0.05,"Acceptable",Table3[[#This Row],[Defect rates]] &lt; 0.1,"Concerning",Table3[[#This Row],[Defect rates]] &gt; 0.1,"Critical")</f>
        <v>Acceptable</v>
      </c>
      <c r="AD2" s="48">
        <f xml:space="preserve"> Table3[[#This Row],[order Lead times]]+Table3[[#This Row],[Manufacturing lead time]]</f>
        <v>34</v>
      </c>
      <c r="AE2" s="49">
        <f>Table3[[#This Row],[Shipping costs]]/Table3[[#This Row],[Number of products sold]]</f>
        <v>4.8556440818396829E-2</v>
      </c>
      <c r="AF2" s="48" t="str">
        <f>IF(AND(Table3[[#This Row],[Total Lead Time]]&gt;Calculations!$B$6,
        Table3[[#This Row],[Defect rates]]&gt;Calculations!$B$7),
   "Underperforming",
   IF(Table3[[#This Row],[Total Lead Time]]&gt;Calculations!$B$6,
      "Slow",
      IF(Table3[[#This Row],[Defect rates]]&gt;Calculations!$B$7,
         "Quality Issue",
         "Good")))</f>
        <v>Good</v>
      </c>
    </row>
    <row r="3" spans="1:32" x14ac:dyDescent="0.3">
      <c r="A3" s="2" t="s">
        <v>155</v>
      </c>
      <c r="B3" s="3" t="s">
        <v>119</v>
      </c>
      <c r="C3" s="16">
        <v>33.697717206643127</v>
      </c>
      <c r="D3" s="4">
        <v>72</v>
      </c>
      <c r="E3" s="23">
        <v>457</v>
      </c>
      <c r="F3" s="28">
        <v>8354.5796864819949</v>
      </c>
      <c r="G3" s="3" t="s">
        <v>55</v>
      </c>
      <c r="H3" s="4">
        <v>57</v>
      </c>
      <c r="I3" s="4">
        <v>24</v>
      </c>
      <c r="J3" s="4">
        <v>54</v>
      </c>
      <c r="K3" s="4">
        <v>8</v>
      </c>
      <c r="L3" s="3" t="s">
        <v>43</v>
      </c>
      <c r="M3" s="28">
        <v>6.5805413478845951</v>
      </c>
      <c r="N3" s="3" t="s">
        <v>44</v>
      </c>
      <c r="O3" s="3" t="s">
        <v>45</v>
      </c>
      <c r="P3" s="4">
        <v>16</v>
      </c>
      <c r="Q3" s="4">
        <v>358</v>
      </c>
      <c r="R3" s="4">
        <v>21</v>
      </c>
      <c r="S3" s="28">
        <v>1.5972227430506774</v>
      </c>
      <c r="T3" s="3" t="s">
        <v>46</v>
      </c>
      <c r="U3" s="35">
        <v>4.9110959548423309E-2</v>
      </c>
      <c r="V3" s="3" t="s">
        <v>47</v>
      </c>
      <c r="W3" s="3" t="s">
        <v>41</v>
      </c>
      <c r="X3" s="40">
        <v>555.85910367174347</v>
      </c>
      <c r="Y3" s="16">
        <f t="shared" si="0"/>
        <v>7798.7205828102515</v>
      </c>
      <c r="Z3" s="47">
        <f>(Table3[[#This Row],[Revenue generated]]-Table3[[#This Row],[Costs]])/Table3[[#This Row],[Revenue generated]]</f>
        <v>0.93346653876901275</v>
      </c>
      <c r="AA3" s="46" t="str">
        <f>IF(Table3[[#This Row],[Stock levels]]&lt;Table3[[#This Row],[Order quantities]]*0.2,"Critical",IF(Table3[[#This Row],[Stock levels]]&lt;Table3[[#This Row],[Order quantities]]*0.5,"low","Adquate"))</f>
        <v>Adquate</v>
      </c>
      <c r="AB3" s="46" t="str">
        <f>IF( F3 &gt;=Calculations!$B$3,"High",
   IF(F3 &gt;=Calculations!$B$2,"Medium",
   "Low"))</f>
        <v>High</v>
      </c>
      <c r="AC3" s="46" t="str">
        <f>_xlfn.IFS(Table3[[#This Row],[Defect rates]] &lt; 0.02,"Excellent",Table3[[#This Row],[Defect rates]] &lt; 0.05,"Acceptable",Table3[[#This Row],[Defect rates]] &lt; 0.1,"Concerning",Table3[[#This Row],[Defect rates]] &gt; 0.1,"Critical")</f>
        <v>Acceptable</v>
      </c>
      <c r="AD3" s="48">
        <f xml:space="preserve"> Table3[[#This Row],[order Lead times]]+Table3[[#This Row],[Manufacturing lead time]]</f>
        <v>45</v>
      </c>
      <c r="AE3" s="49">
        <f>Table3[[#This Row],[Shipping costs]]/Table3[[#This Row],[Number of products sold]]</f>
        <v>1.439943402162931E-2</v>
      </c>
      <c r="AF3" s="48" t="str">
        <f>IF(AND(Table3[[#This Row],[Total Lead Time]]&gt;Calculations!$B$6,
        Table3[[#This Row],[Defect rates]]&gt;Calculations!$B$7),
   "Underperforming",
   IF(Table3[[#This Row],[Total Lead Time]]&gt;Calculations!$B$6,
      "Slow",
      IF(Table3[[#This Row],[Defect rates]]&gt;Calculations!$B$7,
         "Quality Issue",
         "Good")))</f>
        <v>Slow</v>
      </c>
    </row>
    <row r="4" spans="1:32" x14ac:dyDescent="0.3">
      <c r="A4" s="2" t="s">
        <v>156</v>
      </c>
      <c r="B4" s="3" t="s">
        <v>34</v>
      </c>
      <c r="C4" s="16">
        <v>14.843523275084339</v>
      </c>
      <c r="D4" s="4">
        <v>95</v>
      </c>
      <c r="E4" s="23">
        <v>736</v>
      </c>
      <c r="F4" s="28">
        <v>7460.9000654458487</v>
      </c>
      <c r="G4" s="3" t="s">
        <v>35</v>
      </c>
      <c r="H4" s="4">
        <v>53</v>
      </c>
      <c r="I4" s="4">
        <v>30</v>
      </c>
      <c r="J4" s="4">
        <v>37</v>
      </c>
      <c r="K4" s="4">
        <v>2</v>
      </c>
      <c r="L4" s="3" t="s">
        <v>36</v>
      </c>
      <c r="M4" s="28">
        <v>9.7165747714313095</v>
      </c>
      <c r="N4" s="3" t="s">
        <v>28</v>
      </c>
      <c r="O4" s="3" t="s">
        <v>29</v>
      </c>
      <c r="P4" s="4">
        <v>23</v>
      </c>
      <c r="Q4" s="4">
        <v>517</v>
      </c>
      <c r="R4" s="4">
        <v>30</v>
      </c>
      <c r="S4" s="28">
        <v>33.616768953730002</v>
      </c>
      <c r="T4" s="3" t="s">
        <v>30</v>
      </c>
      <c r="U4" s="35">
        <v>4.8540680263887061E-2</v>
      </c>
      <c r="V4" s="3" t="s">
        <v>31</v>
      </c>
      <c r="W4" s="3" t="s">
        <v>32</v>
      </c>
      <c r="X4" s="40">
        <v>503.06557914966919</v>
      </c>
      <c r="Y4" s="16">
        <f t="shared" si="0"/>
        <v>6957.8344862961794</v>
      </c>
      <c r="Z4" s="47">
        <f>(Table3[[#This Row],[Revenue generated]]-Table3[[#This Row],[Costs]])/Table3[[#This Row],[Revenue generated]]</f>
        <v>0.93257307097845343</v>
      </c>
      <c r="AA4" s="46" t="str">
        <f>IF(Table3[[#This Row],[Stock levels]]&lt;Table3[[#This Row],[Order quantities]]*0.2,"Critical",IF(Table3[[#This Row],[Stock levels]]&lt;Table3[[#This Row],[Order quantities]]*0.5,"low","Adquate"))</f>
        <v>Adquate</v>
      </c>
      <c r="AB4" s="46" t="str">
        <f>IF( F4 &gt;=Calculations!$B$3,"High",
   IF(F4 &gt;=Calculations!$B$2,"Medium",
   "Low"))</f>
        <v>Medium</v>
      </c>
      <c r="AC4" s="46" t="str">
        <f>_xlfn.IFS(Table3[[#This Row],[Defect rates]] &lt; 0.02,"Excellent",Table3[[#This Row],[Defect rates]] &lt; 0.05,"Acceptable",Table3[[#This Row],[Defect rates]] &lt; 0.1,"Concerning",Table3[[#This Row],[Defect rates]] &gt; 0.1,"Critical")</f>
        <v>Acceptable</v>
      </c>
      <c r="AD4" s="48">
        <f xml:space="preserve"> Table3[[#This Row],[order Lead times]]+Table3[[#This Row],[Manufacturing lead time]]</f>
        <v>60</v>
      </c>
      <c r="AE4" s="49">
        <f>Table3[[#This Row],[Shipping costs]]/Table3[[#This Row],[Number of products sold]]</f>
        <v>1.3201867895966453E-2</v>
      </c>
      <c r="AF4" s="48" t="str">
        <f>IF(AND(Table3[[#This Row],[Total Lead Time]]&gt;Calculations!$B$6,
        Table3[[#This Row],[Defect rates]]&gt;Calculations!$B$7),
   "Underperforming",
   IF(Table3[[#This Row],[Total Lead Time]]&gt;Calculations!$B$6,
      "Slow",
      IF(Table3[[#This Row],[Defect rates]]&gt;Calculations!$B$7,
         "Quality Issue",
         "Good")))</f>
        <v>Slow</v>
      </c>
    </row>
    <row r="5" spans="1:32" x14ac:dyDescent="0.3">
      <c r="A5" s="2" t="s">
        <v>157</v>
      </c>
      <c r="B5" s="5" t="s">
        <v>138</v>
      </c>
      <c r="C5" s="15">
        <v>89.104367292102253</v>
      </c>
      <c r="D5" s="6">
        <v>99</v>
      </c>
      <c r="E5" s="22">
        <v>618</v>
      </c>
      <c r="F5" s="29">
        <v>2048.2900998487103</v>
      </c>
      <c r="G5" s="5" t="s">
        <v>38</v>
      </c>
      <c r="H5" s="6">
        <v>73</v>
      </c>
      <c r="I5" s="6">
        <v>26</v>
      </c>
      <c r="J5" s="6">
        <v>80</v>
      </c>
      <c r="K5" s="6">
        <v>10</v>
      </c>
      <c r="L5" s="5" t="s">
        <v>36</v>
      </c>
      <c r="M5" s="29">
        <v>8.381615624922631</v>
      </c>
      <c r="N5" s="5" t="s">
        <v>44</v>
      </c>
      <c r="O5" s="5" t="s">
        <v>62</v>
      </c>
      <c r="P5" s="6">
        <v>24</v>
      </c>
      <c r="Q5" s="6">
        <v>589</v>
      </c>
      <c r="R5" s="6">
        <v>22</v>
      </c>
      <c r="S5" s="29">
        <v>33.808636513209095</v>
      </c>
      <c r="T5" s="5" t="s">
        <v>64</v>
      </c>
      <c r="U5" s="36">
        <v>4.843456577118041E-2</v>
      </c>
      <c r="V5" s="5" t="s">
        <v>40</v>
      </c>
      <c r="W5" s="5" t="s">
        <v>32</v>
      </c>
      <c r="X5" s="41">
        <v>465.45700596368795</v>
      </c>
      <c r="Y5" s="16">
        <f t="shared" si="0"/>
        <v>1582.8330938850222</v>
      </c>
      <c r="Z5" s="47">
        <f>(Table3[[#This Row],[Revenue generated]]-Table3[[#This Row],[Costs]])/Table3[[#This Row],[Revenue generated]]</f>
        <v>0.77275826017121918</v>
      </c>
      <c r="AA5" s="46" t="str">
        <f>IF(Table3[[#This Row],[Stock levels]]&lt;Table3[[#This Row],[Order quantities]]*0.2,"Critical",IF(Table3[[#This Row],[Stock levels]]&lt;Table3[[#This Row],[Order quantities]]*0.5,"low","Adquate"))</f>
        <v>Adquate</v>
      </c>
      <c r="AB5" s="46" t="str">
        <f>IF( F5 &gt;=Calculations!$B$3,"High",
   IF(F5 &gt;=Calculations!$B$2,"Medium",
   "Low"))</f>
        <v>Low</v>
      </c>
      <c r="AC5" s="46" t="str">
        <f>_xlfn.IFS(Table3[[#This Row],[Defect rates]] &lt; 0.02,"Excellent",Table3[[#This Row],[Defect rates]] &lt; 0.05,"Acceptable",Table3[[#This Row],[Defect rates]] &lt; 0.1,"Concerning",Table3[[#This Row],[Defect rates]] &gt; 0.1,"Critical")</f>
        <v>Acceptable</v>
      </c>
      <c r="AD5" s="48">
        <f xml:space="preserve"> Table3[[#This Row],[order Lead times]]+Table3[[#This Row],[Manufacturing lead time]]</f>
        <v>48</v>
      </c>
      <c r="AE5" s="49">
        <f>Table3[[#This Row],[Shipping costs]]/Table3[[#This Row],[Number of products sold]]</f>
        <v>1.3562484829971895E-2</v>
      </c>
      <c r="AF5" s="48" t="str">
        <f>IF(AND(Table3[[#This Row],[Total Lead Time]]&gt;Calculations!$B$6,
        Table3[[#This Row],[Defect rates]]&gt;Calculations!$B$7),
   "Underperforming",
   IF(Table3[[#This Row],[Total Lead Time]]&gt;Calculations!$B$6,
      "Slow",
      IF(Table3[[#This Row],[Defect rates]]&gt;Calculations!$B$7,
         "Quality Issue",
         "Good")))</f>
        <v>Slow</v>
      </c>
    </row>
    <row r="6" spans="1:32" x14ac:dyDescent="0.3">
      <c r="A6" s="2" t="s">
        <v>156</v>
      </c>
      <c r="B6" s="5" t="s">
        <v>104</v>
      </c>
      <c r="C6" s="15">
        <v>14.203484264803022</v>
      </c>
      <c r="D6" s="6">
        <v>91</v>
      </c>
      <c r="E6" s="22">
        <v>633</v>
      </c>
      <c r="F6" s="29">
        <v>5910.8853896688988</v>
      </c>
      <c r="G6" s="5" t="s">
        <v>35</v>
      </c>
      <c r="H6" s="6">
        <v>31</v>
      </c>
      <c r="I6" s="6">
        <v>23</v>
      </c>
      <c r="J6" s="6">
        <v>82</v>
      </c>
      <c r="K6" s="6">
        <v>10</v>
      </c>
      <c r="L6" s="5" t="s">
        <v>36</v>
      </c>
      <c r="M6" s="29">
        <v>6.2478609149759912</v>
      </c>
      <c r="N6" s="5" t="s">
        <v>61</v>
      </c>
      <c r="O6" s="5" t="s">
        <v>50</v>
      </c>
      <c r="P6" s="6">
        <v>20</v>
      </c>
      <c r="Q6" s="6">
        <v>306</v>
      </c>
      <c r="R6" s="6">
        <v>21</v>
      </c>
      <c r="S6" s="29">
        <v>45.178757924634517</v>
      </c>
      <c r="T6" s="5" t="s">
        <v>46</v>
      </c>
      <c r="U6" s="36">
        <v>4.7548008046711894E-2</v>
      </c>
      <c r="V6" s="5" t="s">
        <v>47</v>
      </c>
      <c r="W6" s="5" t="s">
        <v>32</v>
      </c>
      <c r="X6" s="41">
        <v>496.24865029194046</v>
      </c>
      <c r="Y6" s="16">
        <f t="shared" si="0"/>
        <v>5414.6367393769588</v>
      </c>
      <c r="Z6" s="47">
        <f>(Table3[[#This Row],[Revenue generated]]-Table3[[#This Row],[Costs]])/Table3[[#This Row],[Revenue generated]]</f>
        <v>0.91604495476104342</v>
      </c>
      <c r="AA6" s="46" t="str">
        <f>IF(Table3[[#This Row],[Stock levels]]&lt;Table3[[#This Row],[Order quantities]]*0.2,"Critical",IF(Table3[[#This Row],[Stock levels]]&lt;Table3[[#This Row],[Order quantities]]*0.5,"low","Adquate"))</f>
        <v>low</v>
      </c>
      <c r="AB6" s="46" t="str">
        <f>IF( F6 &gt;=Calculations!$B$3,"High",
   IF(F6 &gt;=Calculations!$B$2,"Medium",
   "Low"))</f>
        <v>Medium</v>
      </c>
      <c r="AC6" s="46" t="str">
        <f>_xlfn.IFS(Table3[[#This Row],[Defect rates]] &lt; 0.02,"Excellent",Table3[[#This Row],[Defect rates]] &lt; 0.05,"Acceptable",Table3[[#This Row],[Defect rates]] &lt; 0.1,"Concerning",Table3[[#This Row],[Defect rates]] &gt; 0.1,"Critical")</f>
        <v>Acceptable</v>
      </c>
      <c r="AD6" s="48">
        <f xml:space="preserve"> Table3[[#This Row],[order Lead times]]+Table3[[#This Row],[Manufacturing lead time]]</f>
        <v>44</v>
      </c>
      <c r="AE6" s="49">
        <f>Table3[[#This Row],[Shipping costs]]/Table3[[#This Row],[Number of products sold]]</f>
        <v>9.8702384122843455E-3</v>
      </c>
      <c r="AF6" s="48" t="str">
        <f>IF(AND(Table3[[#This Row],[Total Lead Time]]&gt;Calculations!$B$6,
        Table3[[#This Row],[Defect rates]]&gt;Calculations!$B$7),
   "Underperforming",
   IF(Table3[[#This Row],[Total Lead Time]]&gt;Calculations!$B$6,
      "Slow",
      IF(Table3[[#This Row],[Defect rates]]&gt;Calculations!$B$7,
         "Quality Issue",
         "Good")))</f>
        <v>Slow</v>
      </c>
    </row>
    <row r="7" spans="1:32" x14ac:dyDescent="0.3">
      <c r="A7" s="2" t="s">
        <v>155</v>
      </c>
      <c r="B7" s="3" t="s">
        <v>42</v>
      </c>
      <c r="C7" s="16">
        <v>61.163343016437736</v>
      </c>
      <c r="D7" s="4">
        <v>68</v>
      </c>
      <c r="E7" s="23">
        <v>83</v>
      </c>
      <c r="F7" s="28">
        <v>7766.8364256852328</v>
      </c>
      <c r="G7" s="3" t="s">
        <v>26</v>
      </c>
      <c r="H7" s="4">
        <v>23</v>
      </c>
      <c r="I7" s="4">
        <v>13</v>
      </c>
      <c r="J7" s="4">
        <v>59</v>
      </c>
      <c r="K7" s="4">
        <v>6</v>
      </c>
      <c r="L7" s="3" t="s">
        <v>43</v>
      </c>
      <c r="M7" s="28">
        <v>1.7295685635434288</v>
      </c>
      <c r="N7" s="3" t="s">
        <v>44</v>
      </c>
      <c r="O7" s="3" t="s">
        <v>45</v>
      </c>
      <c r="P7" s="4">
        <v>24</v>
      </c>
      <c r="Q7" s="4">
        <v>937</v>
      </c>
      <c r="R7" s="4">
        <v>18</v>
      </c>
      <c r="S7" s="28">
        <v>35.624741397125028</v>
      </c>
      <c r="T7" s="3" t="s">
        <v>46</v>
      </c>
      <c r="U7" s="35">
        <v>4.7466486206477497E-2</v>
      </c>
      <c r="V7" s="3" t="s">
        <v>47</v>
      </c>
      <c r="W7" s="3" t="s">
        <v>48</v>
      </c>
      <c r="X7" s="40">
        <v>254.77615921928663</v>
      </c>
      <c r="Y7" s="16">
        <f t="shared" si="0"/>
        <v>7512.0602664659464</v>
      </c>
      <c r="Z7" s="47">
        <f>(Table3[[#This Row],[Revenue generated]]-Table3[[#This Row],[Costs]])/Table3[[#This Row],[Revenue generated]]</f>
        <v>0.96719691966516363</v>
      </c>
      <c r="AA7" s="46" t="str">
        <f>IF(Table3[[#This Row],[Stock levels]]&lt;Table3[[#This Row],[Order quantities]]*0.2,"Critical",IF(Table3[[#This Row],[Stock levels]]&lt;Table3[[#This Row],[Order quantities]]*0.5,"low","Adquate"))</f>
        <v>low</v>
      </c>
      <c r="AB7" s="46" t="str">
        <f>IF( F7 &gt;=Calculations!$B$3,"High",
   IF(F7 &gt;=Calculations!$B$2,"Medium",
   "Low"))</f>
        <v>High</v>
      </c>
      <c r="AC7" s="46" t="str">
        <f>_xlfn.IFS(Table3[[#This Row],[Defect rates]] &lt; 0.02,"Excellent",Table3[[#This Row],[Defect rates]] &lt; 0.05,"Acceptable",Table3[[#This Row],[Defect rates]] &lt; 0.1,"Concerning",Table3[[#This Row],[Defect rates]] &gt; 0.1,"Critical")</f>
        <v>Acceptable</v>
      </c>
      <c r="AD7" s="48">
        <f xml:space="preserve"> Table3[[#This Row],[order Lead times]]+Table3[[#This Row],[Manufacturing lead time]]</f>
        <v>31</v>
      </c>
      <c r="AE7" s="49">
        <f>Table3[[#This Row],[Shipping costs]]/Table3[[#This Row],[Number of products sold]]</f>
        <v>2.0838175464378661E-2</v>
      </c>
      <c r="AF7" s="48" t="str">
        <f>IF(AND(Table3[[#This Row],[Total Lead Time]]&gt;Calculations!$B$6,
        Table3[[#This Row],[Defect rates]]&gt;Calculations!$B$7),
   "Underperforming",
   IF(Table3[[#This Row],[Total Lead Time]]&gt;Calculations!$B$6,
      "Slow",
      IF(Table3[[#This Row],[Defect rates]]&gt;Calculations!$B$7,
         "Quality Issue",
         "Good")))</f>
        <v>Good</v>
      </c>
    </row>
    <row r="8" spans="1:32" x14ac:dyDescent="0.3">
      <c r="A8" s="2" t="s">
        <v>156</v>
      </c>
      <c r="B8" s="3" t="s">
        <v>127</v>
      </c>
      <c r="C8" s="16">
        <v>83.851017681304597</v>
      </c>
      <c r="D8" s="4">
        <v>41</v>
      </c>
      <c r="E8" s="23">
        <v>375</v>
      </c>
      <c r="F8" s="28">
        <v>7910.8869161406856</v>
      </c>
      <c r="G8" s="3" t="s">
        <v>55</v>
      </c>
      <c r="H8" s="4">
        <v>17</v>
      </c>
      <c r="I8" s="4">
        <v>25</v>
      </c>
      <c r="J8" s="4">
        <v>66</v>
      </c>
      <c r="K8" s="4">
        <v>5</v>
      </c>
      <c r="L8" s="3" t="s">
        <v>27</v>
      </c>
      <c r="M8" s="28">
        <v>1.5129368369160772</v>
      </c>
      <c r="N8" s="3" t="s">
        <v>52</v>
      </c>
      <c r="O8" s="3" t="s">
        <v>62</v>
      </c>
      <c r="P8" s="4">
        <v>13</v>
      </c>
      <c r="Q8" s="4">
        <v>444</v>
      </c>
      <c r="R8" s="4">
        <v>4</v>
      </c>
      <c r="S8" s="28">
        <v>46.870238797617155</v>
      </c>
      <c r="T8" s="3" t="s">
        <v>46</v>
      </c>
      <c r="U8" s="35">
        <v>4.62054606451371E-2</v>
      </c>
      <c r="V8" s="3" t="s">
        <v>31</v>
      </c>
      <c r="W8" s="3" t="s">
        <v>48</v>
      </c>
      <c r="X8" s="40">
        <v>866.4728001296578</v>
      </c>
      <c r="Y8" s="16">
        <f t="shared" si="0"/>
        <v>7044.4141160110275</v>
      </c>
      <c r="Z8" s="47">
        <f>(Table3[[#This Row],[Revenue generated]]-Table3[[#This Row],[Costs]])/Table3[[#This Row],[Revenue generated]]</f>
        <v>0.89047083982937714</v>
      </c>
      <c r="AA8" s="46" t="str">
        <f>IF(Table3[[#This Row],[Stock levels]]&lt;Table3[[#This Row],[Order quantities]]*0.2,"Critical",IF(Table3[[#This Row],[Stock levels]]&lt;Table3[[#This Row],[Order quantities]]*0.5,"low","Adquate"))</f>
        <v>low</v>
      </c>
      <c r="AB8" s="46" t="str">
        <f>IF( F8 &gt;=Calculations!$B$3,"High",
   IF(F8 &gt;=Calculations!$B$2,"Medium",
   "Low"))</f>
        <v>High</v>
      </c>
      <c r="AC8" s="46" t="str">
        <f>_xlfn.IFS(Table3[[#This Row],[Defect rates]] &lt; 0.02,"Excellent",Table3[[#This Row],[Defect rates]] &lt; 0.05,"Acceptable",Table3[[#This Row],[Defect rates]] &lt; 0.1,"Concerning",Table3[[#This Row],[Defect rates]] &gt; 0.1,"Critical")</f>
        <v>Acceptable</v>
      </c>
      <c r="AD8" s="48">
        <f xml:space="preserve"> Table3[[#This Row],[order Lead times]]+Table3[[#This Row],[Manufacturing lead time]]</f>
        <v>29</v>
      </c>
      <c r="AE8" s="49">
        <f>Table3[[#This Row],[Shipping costs]]/Table3[[#This Row],[Number of products sold]]</f>
        <v>4.0344982317762059E-3</v>
      </c>
      <c r="AF8" s="48" t="str">
        <f>IF(AND(Table3[[#This Row],[Total Lead Time]]&gt;Calculations!$B$6,
        Table3[[#This Row],[Defect rates]]&gt;Calculations!$B$7),
   "Underperforming",
   IF(Table3[[#This Row],[Total Lead Time]]&gt;Calculations!$B$6,
      "Slow",
      IF(Table3[[#This Row],[Defect rates]]&gt;Calculations!$B$7,
         "Quality Issue",
         "Good")))</f>
        <v>Good</v>
      </c>
    </row>
    <row r="9" spans="1:32" x14ac:dyDescent="0.3">
      <c r="A9" s="2" t="s">
        <v>155</v>
      </c>
      <c r="B9" s="5" t="s">
        <v>37</v>
      </c>
      <c r="C9" s="15">
        <v>11.319683293090566</v>
      </c>
      <c r="D9" s="6">
        <v>34</v>
      </c>
      <c r="E9" s="22">
        <v>8</v>
      </c>
      <c r="F9" s="29">
        <v>9577.7496258687297</v>
      </c>
      <c r="G9" s="5" t="s">
        <v>38</v>
      </c>
      <c r="H9" s="6">
        <v>1</v>
      </c>
      <c r="I9" s="6">
        <v>10</v>
      </c>
      <c r="J9" s="6">
        <v>88</v>
      </c>
      <c r="K9" s="6">
        <v>2</v>
      </c>
      <c r="L9" s="5" t="s">
        <v>27</v>
      </c>
      <c r="M9" s="29">
        <v>8.0544792617321548</v>
      </c>
      <c r="N9" s="5" t="s">
        <v>39</v>
      </c>
      <c r="O9" s="5" t="s">
        <v>29</v>
      </c>
      <c r="P9" s="6">
        <v>12</v>
      </c>
      <c r="Q9" s="6">
        <v>971</v>
      </c>
      <c r="R9" s="6">
        <v>27</v>
      </c>
      <c r="S9" s="29">
        <v>30.688019348284204</v>
      </c>
      <c r="T9" s="5" t="s">
        <v>30</v>
      </c>
      <c r="U9" s="36">
        <v>4.5805926191992287E-2</v>
      </c>
      <c r="V9" s="5" t="s">
        <v>40</v>
      </c>
      <c r="W9" s="5" t="s">
        <v>41</v>
      </c>
      <c r="X9" s="41">
        <v>141.92028177151906</v>
      </c>
      <c r="Y9" s="16">
        <f t="shared" si="0"/>
        <v>9435.8293440972102</v>
      </c>
      <c r="Z9" s="47">
        <f>(Table3[[#This Row],[Revenue generated]]-Table3[[#This Row],[Costs]])/Table3[[#This Row],[Revenue generated]]</f>
        <v>0.98518229361642484</v>
      </c>
      <c r="AA9" s="46" t="str">
        <f>IF(Table3[[#This Row],[Stock levels]]&lt;Table3[[#This Row],[Order quantities]]*0.2,"Critical",IF(Table3[[#This Row],[Stock levels]]&lt;Table3[[#This Row],[Order quantities]]*0.5,"low","Adquate"))</f>
        <v>Critical</v>
      </c>
      <c r="AB9" s="46" t="str">
        <f>IF( F9 &gt;=Calculations!$B$3,"High",
   IF(F9 &gt;=Calculations!$B$2,"Medium",
   "Low"))</f>
        <v>High</v>
      </c>
      <c r="AC9" s="46" t="str">
        <f>_xlfn.IFS(Table3[[#This Row],[Defect rates]] &lt; 0.02,"Excellent",Table3[[#This Row],[Defect rates]] &lt; 0.05,"Acceptable",Table3[[#This Row],[Defect rates]] &lt; 0.1,"Concerning",Table3[[#This Row],[Defect rates]] &gt; 0.1,"Critical")</f>
        <v>Acceptable</v>
      </c>
      <c r="AD9" s="48">
        <f xml:space="preserve"> Table3[[#This Row],[order Lead times]]+Table3[[#This Row],[Manufacturing lead time]]</f>
        <v>37</v>
      </c>
      <c r="AE9" s="49">
        <f>Table3[[#This Row],[Shipping costs]]/Table3[[#This Row],[Number of products sold]]</f>
        <v>1.0068099077165193</v>
      </c>
      <c r="AF9" s="48" t="str">
        <f>IF(AND(Table3[[#This Row],[Total Lead Time]]&gt;Calculations!$B$6,
        Table3[[#This Row],[Defect rates]]&gt;Calculations!$B$7),
   "Underperforming",
   IF(Table3[[#This Row],[Total Lead Time]]&gt;Calculations!$B$6,
      "Slow",
      IF(Table3[[#This Row],[Defect rates]]&gt;Calculations!$B$7,
         "Quality Issue",
         "Good")))</f>
        <v>Good</v>
      </c>
    </row>
    <row r="10" spans="1:32" x14ac:dyDescent="0.3">
      <c r="A10" s="2" t="s">
        <v>155</v>
      </c>
      <c r="B10" s="3" t="s">
        <v>109</v>
      </c>
      <c r="C10" s="16">
        <v>79.855058340789427</v>
      </c>
      <c r="D10" s="4">
        <v>16</v>
      </c>
      <c r="E10" s="23">
        <v>701</v>
      </c>
      <c r="F10" s="28">
        <v>2925.6751703038126</v>
      </c>
      <c r="G10" s="3" t="s">
        <v>55</v>
      </c>
      <c r="H10" s="4">
        <v>97</v>
      </c>
      <c r="I10" s="4">
        <v>11</v>
      </c>
      <c r="J10" s="4">
        <v>11</v>
      </c>
      <c r="K10" s="4">
        <v>5</v>
      </c>
      <c r="L10" s="3" t="s">
        <v>36</v>
      </c>
      <c r="M10" s="28">
        <v>5.0143649550309073</v>
      </c>
      <c r="N10" s="3" t="s">
        <v>61</v>
      </c>
      <c r="O10" s="3" t="s">
        <v>50</v>
      </c>
      <c r="P10" s="4">
        <v>27</v>
      </c>
      <c r="Q10" s="4">
        <v>918</v>
      </c>
      <c r="R10" s="4">
        <v>5</v>
      </c>
      <c r="S10" s="28">
        <v>30.323545256616502</v>
      </c>
      <c r="T10" s="3" t="s">
        <v>46</v>
      </c>
      <c r="U10" s="35">
        <v>4.5489196593963853E-2</v>
      </c>
      <c r="V10" s="3" t="s">
        <v>56</v>
      </c>
      <c r="W10" s="3" t="s">
        <v>32</v>
      </c>
      <c r="X10" s="40">
        <v>323.01292795247883</v>
      </c>
      <c r="Y10" s="16">
        <f t="shared" si="0"/>
        <v>2602.6622423513336</v>
      </c>
      <c r="Z10" s="47">
        <f>(Table3[[#This Row],[Revenue generated]]-Table3[[#This Row],[Costs]])/Table3[[#This Row],[Revenue generated]]</f>
        <v>0.88959371456164216</v>
      </c>
      <c r="AA10" s="46" t="str">
        <f>IF(Table3[[#This Row],[Stock levels]]&lt;Table3[[#This Row],[Order quantities]]*0.2,"Critical",IF(Table3[[#This Row],[Stock levels]]&lt;Table3[[#This Row],[Order quantities]]*0.5,"low","Adquate"))</f>
        <v>Adquate</v>
      </c>
      <c r="AB10" s="46" t="str">
        <f>IF( F10 &gt;=Calculations!$B$3,"High",
   IF(F10 &gt;=Calculations!$B$2,"Medium",
   "Low"))</f>
        <v>Low</v>
      </c>
      <c r="AC10" s="46" t="str">
        <f>_xlfn.IFS(Table3[[#This Row],[Defect rates]] &lt; 0.02,"Excellent",Table3[[#This Row],[Defect rates]] &lt; 0.05,"Acceptable",Table3[[#This Row],[Defect rates]] &lt; 0.1,"Concerning",Table3[[#This Row],[Defect rates]] &gt; 0.1,"Critical")</f>
        <v>Acceptable</v>
      </c>
      <c r="AD10" s="48">
        <f xml:space="preserve"> Table3[[#This Row],[order Lead times]]+Table3[[#This Row],[Manufacturing lead time]]</f>
        <v>16</v>
      </c>
      <c r="AE10" s="49">
        <f>Table3[[#This Row],[Shipping costs]]/Table3[[#This Row],[Number of products sold]]</f>
        <v>7.153159707604718E-3</v>
      </c>
      <c r="AF10" s="48" t="str">
        <f>IF(AND(Table3[[#This Row],[Total Lead Time]]&gt;Calculations!$B$6,
        Table3[[#This Row],[Defect rates]]&gt;Calculations!$B$7),
   "Underperforming",
   IF(Table3[[#This Row],[Total Lead Time]]&gt;Calculations!$B$6,
      "Slow",
      IF(Table3[[#This Row],[Defect rates]]&gt;Calculations!$B$7,
         "Quality Issue",
         "Good")))</f>
        <v>Good</v>
      </c>
    </row>
    <row r="11" spans="1:32" x14ac:dyDescent="0.3">
      <c r="A11" s="2" t="s">
        <v>157</v>
      </c>
      <c r="B11" s="3" t="s">
        <v>115</v>
      </c>
      <c r="C11" s="16">
        <v>52.028749903294923</v>
      </c>
      <c r="D11" s="4">
        <v>23</v>
      </c>
      <c r="E11" s="23">
        <v>117</v>
      </c>
      <c r="F11" s="28">
        <v>6885.5893508962527</v>
      </c>
      <c r="G11" s="3" t="s">
        <v>38</v>
      </c>
      <c r="H11" s="4">
        <v>32</v>
      </c>
      <c r="I11" s="4">
        <v>23</v>
      </c>
      <c r="J11" s="4">
        <v>36</v>
      </c>
      <c r="K11" s="4">
        <v>7</v>
      </c>
      <c r="L11" s="3" t="s">
        <v>43</v>
      </c>
      <c r="M11" s="28">
        <v>9.0303404225219488</v>
      </c>
      <c r="N11" s="3" t="s">
        <v>52</v>
      </c>
      <c r="O11" s="3" t="s">
        <v>45</v>
      </c>
      <c r="P11" s="4">
        <v>14</v>
      </c>
      <c r="Q11" s="4">
        <v>480</v>
      </c>
      <c r="R11" s="4">
        <v>12</v>
      </c>
      <c r="S11" s="28">
        <v>78.702393968878894</v>
      </c>
      <c r="T11" s="3" t="s">
        <v>46</v>
      </c>
      <c r="U11" s="35">
        <v>4.3674705382050531E-2</v>
      </c>
      <c r="V11" s="3" t="s">
        <v>40</v>
      </c>
      <c r="W11" s="3" t="s">
        <v>48</v>
      </c>
      <c r="X11" s="40">
        <v>164.36652824341942</v>
      </c>
      <c r="Y11" s="16">
        <f t="shared" si="0"/>
        <v>6721.2228226528332</v>
      </c>
      <c r="Z11" s="47">
        <f>(Table3[[#This Row],[Revenue generated]]-Table3[[#This Row],[Costs]])/Table3[[#This Row],[Revenue generated]]</f>
        <v>0.97612890925276785</v>
      </c>
      <c r="AA11" s="46" t="str">
        <f>IF(Table3[[#This Row],[Stock levels]]&lt;Table3[[#This Row],[Order quantities]]*0.2,"Critical",IF(Table3[[#This Row],[Stock levels]]&lt;Table3[[#This Row],[Order quantities]]*0.5,"low","Adquate"))</f>
        <v>Adquate</v>
      </c>
      <c r="AB11" s="46" t="str">
        <f>IF( F11 &gt;=Calculations!$B$3,"High",
   IF(F11 &gt;=Calculations!$B$2,"Medium",
   "Low"))</f>
        <v>Medium</v>
      </c>
      <c r="AC11" s="46" t="str">
        <f>_xlfn.IFS(Table3[[#This Row],[Defect rates]] &lt; 0.02,"Excellent",Table3[[#This Row],[Defect rates]] &lt; 0.05,"Acceptable",Table3[[#This Row],[Defect rates]] &lt; 0.1,"Concerning",Table3[[#This Row],[Defect rates]] &gt; 0.1,"Critical")</f>
        <v>Acceptable</v>
      </c>
      <c r="AD11" s="48">
        <f xml:space="preserve"> Table3[[#This Row],[order Lead times]]+Table3[[#This Row],[Manufacturing lead time]]</f>
        <v>35</v>
      </c>
      <c r="AE11" s="49">
        <f>Table3[[#This Row],[Shipping costs]]/Table3[[#This Row],[Number of products sold]]</f>
        <v>7.7182396773691875E-2</v>
      </c>
      <c r="AF11" s="48" t="str">
        <f>IF(AND(Table3[[#This Row],[Total Lead Time]]&gt;Calculations!$B$6,
        Table3[[#This Row],[Defect rates]]&gt;Calculations!$B$7),
   "Underperforming",
   IF(Table3[[#This Row],[Total Lead Time]]&gt;Calculations!$B$6,
      "Slow",
      IF(Table3[[#This Row],[Defect rates]]&gt;Calculations!$B$7,
         "Quality Issue",
         "Good")))</f>
        <v>Good</v>
      </c>
    </row>
    <row r="12" spans="1:32" x14ac:dyDescent="0.3">
      <c r="A12" s="2" t="s">
        <v>157</v>
      </c>
      <c r="B12" s="5" t="s">
        <v>74</v>
      </c>
      <c r="C12" s="15">
        <v>96.341072439963384</v>
      </c>
      <c r="D12" s="6">
        <v>22</v>
      </c>
      <c r="E12" s="22">
        <v>320</v>
      </c>
      <c r="F12" s="29">
        <v>8128.0276968511916</v>
      </c>
      <c r="G12" s="5" t="s">
        <v>38</v>
      </c>
      <c r="H12" s="6">
        <v>27</v>
      </c>
      <c r="I12" s="6">
        <v>12</v>
      </c>
      <c r="J12" s="6">
        <v>68</v>
      </c>
      <c r="K12" s="6">
        <v>6</v>
      </c>
      <c r="L12" s="5" t="s">
        <v>36</v>
      </c>
      <c r="M12" s="29">
        <v>8.8783346509268402</v>
      </c>
      <c r="N12" s="5" t="s">
        <v>39</v>
      </c>
      <c r="O12" s="5" t="s">
        <v>62</v>
      </c>
      <c r="P12" s="6">
        <v>29</v>
      </c>
      <c r="Q12" s="6">
        <v>309</v>
      </c>
      <c r="R12" s="6">
        <v>6</v>
      </c>
      <c r="S12" s="29">
        <v>65.686259608488626</v>
      </c>
      <c r="T12" s="5" t="s">
        <v>64</v>
      </c>
      <c r="U12" s="36">
        <v>4.231416573534539E-2</v>
      </c>
      <c r="V12" s="5" t="s">
        <v>40</v>
      </c>
      <c r="W12" s="5" t="s">
        <v>32</v>
      </c>
      <c r="X12" s="41">
        <v>493.87121531620585</v>
      </c>
      <c r="Y12" s="16">
        <f t="shared" si="0"/>
        <v>7634.1564815349857</v>
      </c>
      <c r="Z12" s="47">
        <f>(Table3[[#This Row],[Revenue generated]]-Table3[[#This Row],[Costs]])/Table3[[#This Row],[Revenue generated]]</f>
        <v>0.93923849256720271</v>
      </c>
      <c r="AA12" s="46" t="str">
        <f>IF(Table3[[#This Row],[Stock levels]]&lt;Table3[[#This Row],[Order quantities]]*0.2,"Critical",IF(Table3[[#This Row],[Stock levels]]&lt;Table3[[#This Row],[Order quantities]]*0.5,"low","Adquate"))</f>
        <v>low</v>
      </c>
      <c r="AB12" s="46" t="str">
        <f>IF( F12 &gt;=Calculations!$B$3,"High",
   IF(F12 &gt;=Calculations!$B$2,"Medium",
   "Low"))</f>
        <v>High</v>
      </c>
      <c r="AC12" s="46" t="str">
        <f>_xlfn.IFS(Table3[[#This Row],[Defect rates]] &lt; 0.02,"Excellent",Table3[[#This Row],[Defect rates]] &lt; 0.05,"Acceptable",Table3[[#This Row],[Defect rates]] &lt; 0.1,"Concerning",Table3[[#This Row],[Defect rates]] &gt; 0.1,"Critical")</f>
        <v>Acceptable</v>
      </c>
      <c r="AD12" s="48">
        <f xml:space="preserve"> Table3[[#This Row],[order Lead times]]+Table3[[#This Row],[Manufacturing lead time]]</f>
        <v>18</v>
      </c>
      <c r="AE12" s="49">
        <f>Table3[[#This Row],[Shipping costs]]/Table3[[#This Row],[Number of products sold]]</f>
        <v>2.7744795784146375E-2</v>
      </c>
      <c r="AF12" s="48" t="str">
        <f>IF(AND(Table3[[#This Row],[Total Lead Time]]&gt;Calculations!$B$6,
        Table3[[#This Row],[Defect rates]]&gt;Calculations!$B$7),
   "Underperforming",
   IF(Table3[[#This Row],[Total Lead Time]]&gt;Calculations!$B$6,
      "Slow",
      IF(Table3[[#This Row],[Defect rates]]&gt;Calculations!$B$7,
         "Quality Issue",
         "Good")))</f>
        <v>Good</v>
      </c>
    </row>
    <row r="13" spans="1:32" x14ac:dyDescent="0.3">
      <c r="A13" s="2" t="s">
        <v>155</v>
      </c>
      <c r="B13" s="5" t="s">
        <v>94</v>
      </c>
      <c r="C13" s="15">
        <v>80.541424170940331</v>
      </c>
      <c r="D13" s="6">
        <v>97</v>
      </c>
      <c r="E13" s="22">
        <v>933</v>
      </c>
      <c r="F13" s="29">
        <v>5724.9593504562654</v>
      </c>
      <c r="G13" s="5" t="s">
        <v>35</v>
      </c>
      <c r="H13" s="6">
        <v>90</v>
      </c>
      <c r="I13" s="6">
        <v>20</v>
      </c>
      <c r="J13" s="6">
        <v>39</v>
      </c>
      <c r="K13" s="6">
        <v>8</v>
      </c>
      <c r="L13" s="5" t="s">
        <v>43</v>
      </c>
      <c r="M13" s="29">
        <v>7.2295951397364737</v>
      </c>
      <c r="N13" s="5" t="s">
        <v>39</v>
      </c>
      <c r="O13" s="5" t="s">
        <v>45</v>
      </c>
      <c r="P13" s="6">
        <v>18</v>
      </c>
      <c r="Q13" s="6">
        <v>793</v>
      </c>
      <c r="R13" s="6">
        <v>1</v>
      </c>
      <c r="S13" s="29">
        <v>88.179407104217461</v>
      </c>
      <c r="T13" s="5" t="s">
        <v>30</v>
      </c>
      <c r="U13" s="36">
        <v>4.2132694305865658E-2</v>
      </c>
      <c r="V13" s="5" t="s">
        <v>31</v>
      </c>
      <c r="W13" s="5" t="s">
        <v>48</v>
      </c>
      <c r="X13" s="41">
        <v>529.80872398069187</v>
      </c>
      <c r="Y13" s="16">
        <f t="shared" si="0"/>
        <v>5195.1506264755735</v>
      </c>
      <c r="Z13" s="47">
        <f>(Table3[[#This Row],[Revenue generated]]-Table3[[#This Row],[Costs]])/Table3[[#This Row],[Revenue generated]]</f>
        <v>0.90745633435135786</v>
      </c>
      <c r="AA13" s="46" t="str">
        <f>IF(Table3[[#This Row],[Stock levels]]&lt;Table3[[#This Row],[Order quantities]]*0.2,"Critical",IF(Table3[[#This Row],[Stock levels]]&lt;Table3[[#This Row],[Order quantities]]*0.5,"low","Adquate"))</f>
        <v>Adquate</v>
      </c>
      <c r="AB13" s="46" t="str">
        <f>IF( F13 &gt;=Calculations!$B$3,"High",
   IF(F13 &gt;=Calculations!$B$2,"Medium",
   "Low"))</f>
        <v>Medium</v>
      </c>
      <c r="AC13" s="46" t="str">
        <f>_xlfn.IFS(Table3[[#This Row],[Defect rates]] &lt; 0.02,"Excellent",Table3[[#This Row],[Defect rates]] &lt; 0.05,"Acceptable",Table3[[#This Row],[Defect rates]] &lt; 0.1,"Concerning",Table3[[#This Row],[Defect rates]] &gt; 0.1,"Critical")</f>
        <v>Acceptable</v>
      </c>
      <c r="AD13" s="48">
        <f xml:space="preserve"> Table3[[#This Row],[order Lead times]]+Table3[[#This Row],[Manufacturing lead time]]</f>
        <v>21</v>
      </c>
      <c r="AE13" s="49">
        <f>Table3[[#This Row],[Shipping costs]]/Table3[[#This Row],[Number of products sold]]</f>
        <v>7.7487622076489538E-3</v>
      </c>
      <c r="AF13" s="48" t="str">
        <f>IF(AND(Table3[[#This Row],[Total Lead Time]]&gt;Calculations!$B$6,
        Table3[[#This Row],[Defect rates]]&gt;Calculations!$B$7),
   "Underperforming",
   IF(Table3[[#This Row],[Total Lead Time]]&gt;Calculations!$B$6,
      "Slow",
      IF(Table3[[#This Row],[Defect rates]]&gt;Calculations!$B$7,
         "Quality Issue",
         "Good")))</f>
        <v>Good</v>
      </c>
    </row>
    <row r="14" spans="1:32" x14ac:dyDescent="0.3">
      <c r="A14" s="2" t="s">
        <v>157</v>
      </c>
      <c r="B14" s="3" t="s">
        <v>147</v>
      </c>
      <c r="C14" s="16">
        <v>69.290831002905492</v>
      </c>
      <c r="D14" s="4">
        <v>88</v>
      </c>
      <c r="E14" s="23">
        <v>114</v>
      </c>
      <c r="F14" s="28">
        <v>4531.4021336919095</v>
      </c>
      <c r="G14" s="3" t="s">
        <v>38</v>
      </c>
      <c r="H14" s="4">
        <v>63</v>
      </c>
      <c r="I14" s="4">
        <v>17</v>
      </c>
      <c r="J14" s="4">
        <v>66</v>
      </c>
      <c r="K14" s="4">
        <v>1</v>
      </c>
      <c r="L14" s="3" t="s">
        <v>43</v>
      </c>
      <c r="M14" s="28">
        <v>7.0064320590043945</v>
      </c>
      <c r="N14" s="3" t="s">
        <v>52</v>
      </c>
      <c r="O14" s="3" t="s">
        <v>62</v>
      </c>
      <c r="P14" s="4">
        <v>21</v>
      </c>
      <c r="Q14" s="4">
        <v>824</v>
      </c>
      <c r="R14" s="4">
        <v>20</v>
      </c>
      <c r="S14" s="28">
        <v>35.633652343343876</v>
      </c>
      <c r="T14" s="3" t="s">
        <v>46</v>
      </c>
      <c r="U14" s="35">
        <v>4.165781795424145E-2</v>
      </c>
      <c r="V14" s="3" t="s">
        <v>40</v>
      </c>
      <c r="W14" s="3" t="s">
        <v>48</v>
      </c>
      <c r="X14" s="40">
        <v>823.52384588815585</v>
      </c>
      <c r="Y14" s="16">
        <f t="shared" si="0"/>
        <v>3707.8782878037537</v>
      </c>
      <c r="Z14" s="47">
        <f>(Table3[[#This Row],[Revenue generated]]-Table3[[#This Row],[Costs]])/Table3[[#This Row],[Revenue generated]]</f>
        <v>0.81826290812614355</v>
      </c>
      <c r="AA14" s="46" t="str">
        <f>IF(Table3[[#This Row],[Stock levels]]&lt;Table3[[#This Row],[Order quantities]]*0.2,"Critical",IF(Table3[[#This Row],[Stock levels]]&lt;Table3[[#This Row],[Order quantities]]*0.5,"low","Adquate"))</f>
        <v>Adquate</v>
      </c>
      <c r="AB14" s="46" t="str">
        <f>IF( F14 &gt;=Calculations!$B$3,"High",
   IF(F14 &gt;=Calculations!$B$2,"Medium",
   "Low"))</f>
        <v>Medium</v>
      </c>
      <c r="AC14" s="46" t="str">
        <f>_xlfn.IFS(Table3[[#This Row],[Defect rates]] &lt; 0.02,"Excellent",Table3[[#This Row],[Defect rates]] &lt; 0.05,"Acceptable",Table3[[#This Row],[Defect rates]] &lt; 0.1,"Concerning",Table3[[#This Row],[Defect rates]] &gt; 0.1,"Critical")</f>
        <v>Acceptable</v>
      </c>
      <c r="AD14" s="48">
        <f xml:space="preserve"> Table3[[#This Row],[order Lead times]]+Table3[[#This Row],[Manufacturing lead time]]</f>
        <v>37</v>
      </c>
      <c r="AE14" s="49">
        <f>Table3[[#This Row],[Shipping costs]]/Table3[[#This Row],[Number of products sold]]</f>
        <v>6.1459930342143809E-2</v>
      </c>
      <c r="AF14" s="48" t="str">
        <f>IF(AND(Table3[[#This Row],[Total Lead Time]]&gt;Calculations!$B$6,
        Table3[[#This Row],[Defect rates]]&gt;Calculations!$B$7),
   "Underperforming",
   IF(Table3[[#This Row],[Total Lead Time]]&gt;Calculations!$B$6,
      "Slow",
      IF(Table3[[#This Row],[Defect rates]]&gt;Calculations!$B$7,
         "Quality Issue",
         "Good")))</f>
        <v>Good</v>
      </c>
    </row>
    <row r="15" spans="1:32" x14ac:dyDescent="0.3">
      <c r="A15" s="2" t="s">
        <v>156</v>
      </c>
      <c r="B15" s="5" t="s">
        <v>136</v>
      </c>
      <c r="C15" s="15">
        <v>17.034930739467917</v>
      </c>
      <c r="D15" s="6">
        <v>13</v>
      </c>
      <c r="E15" s="22">
        <v>336</v>
      </c>
      <c r="F15" s="29">
        <v>2943.3818676094515</v>
      </c>
      <c r="G15" s="5" t="s">
        <v>38</v>
      </c>
      <c r="H15" s="6">
        <v>42</v>
      </c>
      <c r="I15" s="6">
        <v>19</v>
      </c>
      <c r="J15" s="6">
        <v>72</v>
      </c>
      <c r="K15" s="6">
        <v>1</v>
      </c>
      <c r="L15" s="5" t="s">
        <v>36</v>
      </c>
      <c r="M15" s="29">
        <v>4.7081818735419301</v>
      </c>
      <c r="N15" s="5" t="s">
        <v>61</v>
      </c>
      <c r="O15" s="5" t="s">
        <v>29</v>
      </c>
      <c r="P15" s="6">
        <v>6</v>
      </c>
      <c r="Q15" s="6">
        <v>955</v>
      </c>
      <c r="R15" s="6">
        <v>26</v>
      </c>
      <c r="S15" s="29">
        <v>4.4652784349432402</v>
      </c>
      <c r="T15" s="5" t="s">
        <v>30</v>
      </c>
      <c r="U15" s="36">
        <v>4.1378770486223571E-2</v>
      </c>
      <c r="V15" s="5" t="s">
        <v>31</v>
      </c>
      <c r="W15" s="5" t="s">
        <v>41</v>
      </c>
      <c r="X15" s="41">
        <v>589.97855562804068</v>
      </c>
      <c r="Y15" s="16">
        <f t="shared" si="0"/>
        <v>2353.4033119814108</v>
      </c>
      <c r="Z15" s="47">
        <f>(Table3[[#This Row],[Revenue generated]]-Table3[[#This Row],[Costs]])/Table3[[#This Row],[Revenue generated]]</f>
        <v>0.79955758981854164</v>
      </c>
      <c r="AA15" s="46" t="str">
        <f>IF(Table3[[#This Row],[Stock levels]]&lt;Table3[[#This Row],[Order quantities]]*0.2,"Critical",IF(Table3[[#This Row],[Stock levels]]&lt;Table3[[#This Row],[Order quantities]]*0.5,"low","Adquate"))</f>
        <v>Adquate</v>
      </c>
      <c r="AB15" s="46" t="str">
        <f>IF( F15 &gt;=Calculations!$B$3,"High",
   IF(F15 &gt;=Calculations!$B$2,"Medium",
   "Low"))</f>
        <v>Low</v>
      </c>
      <c r="AC15" s="46" t="str">
        <f>_xlfn.IFS(Table3[[#This Row],[Defect rates]] &lt; 0.02,"Excellent",Table3[[#This Row],[Defect rates]] &lt; 0.05,"Acceptable",Table3[[#This Row],[Defect rates]] &lt; 0.1,"Concerning",Table3[[#This Row],[Defect rates]] &gt; 0.1,"Critical")</f>
        <v>Acceptable</v>
      </c>
      <c r="AD15" s="48">
        <f xml:space="preserve"> Table3[[#This Row],[order Lead times]]+Table3[[#This Row],[Manufacturing lead time]]</f>
        <v>45</v>
      </c>
      <c r="AE15" s="49">
        <f>Table3[[#This Row],[Shipping costs]]/Table3[[#This Row],[Number of products sold]]</f>
        <v>1.4012446052208125E-2</v>
      </c>
      <c r="AF15" s="48" t="str">
        <f>IF(AND(Table3[[#This Row],[Total Lead Time]]&gt;Calculations!$B$6,
        Table3[[#This Row],[Defect rates]]&gt;Calculations!$B$7),
   "Underperforming",
   IF(Table3[[#This Row],[Total Lead Time]]&gt;Calculations!$B$6,
      "Slow",
      IF(Table3[[#This Row],[Defect rates]]&gt;Calculations!$B$7,
         "Quality Issue",
         "Good")))</f>
        <v>Slow</v>
      </c>
    </row>
    <row r="16" spans="1:32" x14ac:dyDescent="0.3">
      <c r="A16" s="2" t="s">
        <v>156</v>
      </c>
      <c r="B16" s="5" t="s">
        <v>132</v>
      </c>
      <c r="C16" s="15">
        <v>6.3068831761119197</v>
      </c>
      <c r="D16" s="6">
        <v>50</v>
      </c>
      <c r="E16" s="22">
        <v>946</v>
      </c>
      <c r="F16" s="29">
        <v>1292.4584179377562</v>
      </c>
      <c r="G16" s="5" t="s">
        <v>38</v>
      </c>
      <c r="H16" s="6">
        <v>5</v>
      </c>
      <c r="I16" s="6">
        <v>4</v>
      </c>
      <c r="J16" s="6">
        <v>51</v>
      </c>
      <c r="K16" s="6">
        <v>5</v>
      </c>
      <c r="L16" s="5" t="s">
        <v>27</v>
      </c>
      <c r="M16" s="29">
        <v>8.4670497708619905</v>
      </c>
      <c r="N16" s="5" t="s">
        <v>44</v>
      </c>
      <c r="O16" s="5" t="s">
        <v>29</v>
      </c>
      <c r="P16" s="6">
        <v>25</v>
      </c>
      <c r="Q16" s="6">
        <v>858</v>
      </c>
      <c r="R16" s="6">
        <v>21</v>
      </c>
      <c r="S16" s="29">
        <v>71.126514720403378</v>
      </c>
      <c r="T16" s="5" t="s">
        <v>30</v>
      </c>
      <c r="U16" s="36">
        <v>4.096881332470452E-2</v>
      </c>
      <c r="V16" s="5" t="s">
        <v>56</v>
      </c>
      <c r="W16" s="5" t="s">
        <v>41</v>
      </c>
      <c r="X16" s="41">
        <v>323.59220343132216</v>
      </c>
      <c r="Y16" s="16">
        <f t="shared" si="0"/>
        <v>968.86621450643406</v>
      </c>
      <c r="Z16" s="47">
        <f>(Table3[[#This Row],[Revenue generated]]-Table3[[#This Row],[Costs]])/Table3[[#This Row],[Revenue generated]]</f>
        <v>0.74963047248541648</v>
      </c>
      <c r="AA16" s="46" t="str">
        <f>IF(Table3[[#This Row],[Stock levels]]&lt;Table3[[#This Row],[Order quantities]]*0.2,"Critical",IF(Table3[[#This Row],[Stock levels]]&lt;Table3[[#This Row],[Order quantities]]*0.5,"low","Adquate"))</f>
        <v>Critical</v>
      </c>
      <c r="AB16" s="46" t="str">
        <f>IF( F16 &gt;=Calculations!$B$3,"High",
   IF(F16 &gt;=Calculations!$B$2,"Medium",
   "Low"))</f>
        <v>Low</v>
      </c>
      <c r="AC16" s="46" t="str">
        <f>_xlfn.IFS(Table3[[#This Row],[Defect rates]] &lt; 0.02,"Excellent",Table3[[#This Row],[Defect rates]] &lt; 0.05,"Acceptable",Table3[[#This Row],[Defect rates]] &lt; 0.1,"Concerning",Table3[[#This Row],[Defect rates]] &gt; 0.1,"Critical")</f>
        <v>Acceptable</v>
      </c>
      <c r="AD16" s="48">
        <f xml:space="preserve"> Table3[[#This Row],[order Lead times]]+Table3[[#This Row],[Manufacturing lead time]]</f>
        <v>25</v>
      </c>
      <c r="AE16" s="49">
        <f>Table3[[#This Row],[Shipping costs]]/Table3[[#This Row],[Number of products sold]]</f>
        <v>8.9503697366405816E-3</v>
      </c>
      <c r="AF16" s="48" t="str">
        <f>IF(AND(Table3[[#This Row],[Total Lead Time]]&gt;Calculations!$B$6,
        Table3[[#This Row],[Defect rates]]&gt;Calculations!$B$7),
   "Underperforming",
   IF(Table3[[#This Row],[Total Lead Time]]&gt;Calculations!$B$6,
      "Slow",
      IF(Table3[[#This Row],[Defect rates]]&gt;Calculations!$B$7,
         "Quality Issue",
         "Good")))</f>
        <v>Good</v>
      </c>
    </row>
    <row r="17" spans="1:32" x14ac:dyDescent="0.3">
      <c r="A17" s="2" t="s">
        <v>156</v>
      </c>
      <c r="B17" s="3" t="s">
        <v>83</v>
      </c>
      <c r="C17" s="16">
        <v>63.447559185207332</v>
      </c>
      <c r="D17" s="4">
        <v>3</v>
      </c>
      <c r="E17" s="23">
        <v>253</v>
      </c>
      <c r="F17" s="28">
        <v>8318.9031946171781</v>
      </c>
      <c r="G17" s="3" t="s">
        <v>35</v>
      </c>
      <c r="H17" s="4">
        <v>45</v>
      </c>
      <c r="I17" s="4">
        <v>5</v>
      </c>
      <c r="J17" s="4">
        <v>67</v>
      </c>
      <c r="K17" s="4">
        <v>7</v>
      </c>
      <c r="L17" s="3" t="s">
        <v>27</v>
      </c>
      <c r="M17" s="28">
        <v>8.1009731453970311</v>
      </c>
      <c r="N17" s="3" t="s">
        <v>39</v>
      </c>
      <c r="O17" s="3" t="s">
        <v>45</v>
      </c>
      <c r="P17" s="4">
        <v>16</v>
      </c>
      <c r="Q17" s="4">
        <v>329</v>
      </c>
      <c r="R17" s="4">
        <v>7</v>
      </c>
      <c r="S17" s="28">
        <v>39.292875586065747</v>
      </c>
      <c r="T17" s="3" t="s">
        <v>64</v>
      </c>
      <c r="U17" s="35">
        <v>3.878098936588488E-2</v>
      </c>
      <c r="V17" s="3" t="s">
        <v>31</v>
      </c>
      <c r="W17" s="3" t="s">
        <v>32</v>
      </c>
      <c r="X17" s="40">
        <v>764.93537594070813</v>
      </c>
      <c r="Y17" s="16">
        <f t="shared" si="0"/>
        <v>7553.9678186764704</v>
      </c>
      <c r="Z17" s="47">
        <f>(Table3[[#This Row],[Revenue generated]]-Table3[[#This Row],[Costs]])/Table3[[#This Row],[Revenue generated]]</f>
        <v>0.90804853019137599</v>
      </c>
      <c r="AA17" s="46" t="str">
        <f>IF(Table3[[#This Row],[Stock levels]]&lt;Table3[[#This Row],[Order quantities]]*0.2,"Critical",IF(Table3[[#This Row],[Stock levels]]&lt;Table3[[#This Row],[Order quantities]]*0.5,"low","Adquate"))</f>
        <v>Adquate</v>
      </c>
      <c r="AB17" s="46" t="str">
        <f>IF( F17 &gt;=Calculations!$B$3,"High",
   IF(F17 &gt;=Calculations!$B$2,"Medium",
   "Low"))</f>
        <v>High</v>
      </c>
      <c r="AC17" s="46" t="str">
        <f>_xlfn.IFS(Table3[[#This Row],[Defect rates]] &lt; 0.02,"Excellent",Table3[[#This Row],[Defect rates]] &lt; 0.05,"Acceptable",Table3[[#This Row],[Defect rates]] &lt; 0.1,"Concerning",Table3[[#This Row],[Defect rates]] &gt; 0.1,"Critical")</f>
        <v>Acceptable</v>
      </c>
      <c r="AD17" s="48">
        <f xml:space="preserve"> Table3[[#This Row],[order Lead times]]+Table3[[#This Row],[Manufacturing lead time]]</f>
        <v>12</v>
      </c>
      <c r="AE17" s="49">
        <f>Table3[[#This Row],[Shipping costs]]/Table3[[#This Row],[Number of products sold]]</f>
        <v>3.2019656701174036E-2</v>
      </c>
      <c r="AF17" s="48" t="str">
        <f>IF(AND(Table3[[#This Row],[Total Lead Time]]&gt;Calculations!$B$6,
        Table3[[#This Row],[Defect rates]]&gt;Calculations!$B$7),
   "Underperforming",
   IF(Table3[[#This Row],[Total Lead Time]]&gt;Calculations!$B$6,
      "Slow",
      IF(Table3[[#This Row],[Defect rates]]&gt;Calculations!$B$7,
         "Quality Issue",
         "Good")))</f>
        <v>Good</v>
      </c>
    </row>
    <row r="18" spans="1:32" x14ac:dyDescent="0.3">
      <c r="A18" s="2" t="s">
        <v>156</v>
      </c>
      <c r="B18" s="5" t="s">
        <v>150</v>
      </c>
      <c r="C18" s="15">
        <v>24.42313142037338</v>
      </c>
      <c r="D18" s="6">
        <v>29</v>
      </c>
      <c r="E18" s="22">
        <v>324</v>
      </c>
      <c r="F18" s="29">
        <v>7698.4247656321168</v>
      </c>
      <c r="G18" s="5" t="s">
        <v>26</v>
      </c>
      <c r="H18" s="6">
        <v>67</v>
      </c>
      <c r="I18" s="6">
        <v>2</v>
      </c>
      <c r="J18" s="6">
        <v>32</v>
      </c>
      <c r="K18" s="6">
        <v>3</v>
      </c>
      <c r="L18" s="5" t="s">
        <v>43</v>
      </c>
      <c r="M18" s="29">
        <v>5.3528780439968093</v>
      </c>
      <c r="N18" s="5" t="s">
        <v>28</v>
      </c>
      <c r="O18" s="5" t="s">
        <v>29</v>
      </c>
      <c r="P18" s="6">
        <v>28</v>
      </c>
      <c r="Q18" s="6">
        <v>648</v>
      </c>
      <c r="R18" s="6">
        <v>28</v>
      </c>
      <c r="S18" s="29">
        <v>17.80375633139127</v>
      </c>
      <c r="T18" s="5" t="s">
        <v>30</v>
      </c>
      <c r="U18" s="36">
        <v>3.8720476814821332E-2</v>
      </c>
      <c r="V18" s="5" t="s">
        <v>31</v>
      </c>
      <c r="W18" s="5" t="s">
        <v>48</v>
      </c>
      <c r="X18" s="41">
        <v>188.74214114905698</v>
      </c>
      <c r="Y18" s="16">
        <f t="shared" si="0"/>
        <v>7509.68262448306</v>
      </c>
      <c r="Z18" s="47">
        <f>(Table3[[#This Row],[Revenue generated]]-Table3[[#This Row],[Costs]])/Table3[[#This Row],[Revenue generated]]</f>
        <v>0.97548301803355231</v>
      </c>
      <c r="AA18" s="46" t="str">
        <f>IF(Table3[[#This Row],[Stock levels]]&lt;Table3[[#This Row],[Order quantities]]*0.2,"Critical",IF(Table3[[#This Row],[Stock levels]]&lt;Table3[[#This Row],[Order quantities]]*0.5,"low","Adquate"))</f>
        <v>Adquate</v>
      </c>
      <c r="AB18" s="46" t="str">
        <f>IF( F18 &gt;=Calculations!$B$3,"High",
   IF(F18 &gt;=Calculations!$B$2,"Medium",
   "Low"))</f>
        <v>Medium</v>
      </c>
      <c r="AC18" s="46" t="str">
        <f>_xlfn.IFS(Table3[[#This Row],[Defect rates]] &lt; 0.02,"Excellent",Table3[[#This Row],[Defect rates]] &lt; 0.05,"Acceptable",Table3[[#This Row],[Defect rates]] &lt; 0.1,"Concerning",Table3[[#This Row],[Defect rates]] &gt; 0.1,"Critical")</f>
        <v>Acceptable</v>
      </c>
      <c r="AD18" s="48">
        <f xml:space="preserve"> Table3[[#This Row],[order Lead times]]+Table3[[#This Row],[Manufacturing lead time]]</f>
        <v>30</v>
      </c>
      <c r="AE18" s="49">
        <f>Table3[[#This Row],[Shipping costs]]/Table3[[#This Row],[Number of products sold]]</f>
        <v>1.6521228530854349E-2</v>
      </c>
      <c r="AF18" s="48" t="str">
        <f>IF(AND(Table3[[#This Row],[Total Lead Time]]&gt;Calculations!$B$6,
        Table3[[#This Row],[Defect rates]]&gt;Calculations!$B$7),
   "Underperforming",
   IF(Table3[[#This Row],[Total Lead Time]]&gt;Calculations!$B$6,
      "Slow",
      IF(Table3[[#This Row],[Defect rates]]&gt;Calculations!$B$7,
         "Quality Issue",
         "Good")))</f>
        <v>Good</v>
      </c>
    </row>
    <row r="19" spans="1:32" x14ac:dyDescent="0.3">
      <c r="A19" s="2" t="s">
        <v>155</v>
      </c>
      <c r="B19" s="3" t="s">
        <v>60</v>
      </c>
      <c r="C19" s="16">
        <v>64.015732941278543</v>
      </c>
      <c r="D19" s="4">
        <v>35</v>
      </c>
      <c r="E19" s="23">
        <v>980</v>
      </c>
      <c r="F19" s="28">
        <v>4971.145987585558</v>
      </c>
      <c r="G19" s="3" t="s">
        <v>38</v>
      </c>
      <c r="H19" s="4">
        <v>14</v>
      </c>
      <c r="I19" s="4">
        <v>27</v>
      </c>
      <c r="J19" s="4">
        <v>83</v>
      </c>
      <c r="K19" s="4">
        <v>1</v>
      </c>
      <c r="L19" s="3" t="s">
        <v>36</v>
      </c>
      <c r="M19" s="28">
        <v>7.1666452910482157</v>
      </c>
      <c r="N19" s="3" t="s">
        <v>61</v>
      </c>
      <c r="O19" s="3" t="s">
        <v>62</v>
      </c>
      <c r="P19" s="4">
        <v>29</v>
      </c>
      <c r="Q19" s="4">
        <v>963</v>
      </c>
      <c r="R19" s="4">
        <v>23</v>
      </c>
      <c r="S19" s="28">
        <v>47.95760163495158</v>
      </c>
      <c r="T19" s="3" t="s">
        <v>30</v>
      </c>
      <c r="U19" s="35">
        <v>3.844614478767585E-2</v>
      </c>
      <c r="V19" s="3" t="s">
        <v>47</v>
      </c>
      <c r="W19" s="3" t="s">
        <v>32</v>
      </c>
      <c r="X19" s="40">
        <v>995.92946149864167</v>
      </c>
      <c r="Y19" s="16">
        <f t="shared" si="0"/>
        <v>3975.2165260869165</v>
      </c>
      <c r="Z19" s="47">
        <f>(Table3[[#This Row],[Revenue generated]]-Table3[[#This Row],[Costs]])/Table3[[#This Row],[Revenue generated]]</f>
        <v>0.79965797343594902</v>
      </c>
      <c r="AA19" s="46" t="str">
        <f>IF(Table3[[#This Row],[Stock levels]]&lt;Table3[[#This Row],[Order quantities]]*0.2,"Critical",IF(Table3[[#This Row],[Stock levels]]&lt;Table3[[#This Row],[Order quantities]]*0.5,"low","Adquate"))</f>
        <v>Critical</v>
      </c>
      <c r="AB19" s="46" t="str">
        <f>IF( F19 &gt;=Calculations!$B$3,"High",
   IF(F19 &gt;=Calculations!$B$2,"Medium",
   "Low"))</f>
        <v>Medium</v>
      </c>
      <c r="AC19" s="46" t="str">
        <f>_xlfn.IFS(Table3[[#This Row],[Defect rates]] &lt; 0.02,"Excellent",Table3[[#This Row],[Defect rates]] &lt; 0.05,"Acceptable",Table3[[#This Row],[Defect rates]] &lt; 0.1,"Concerning",Table3[[#This Row],[Defect rates]] &gt; 0.1,"Critical")</f>
        <v>Acceptable</v>
      </c>
      <c r="AD19" s="48">
        <f xml:space="preserve"> Table3[[#This Row],[order Lead times]]+Table3[[#This Row],[Manufacturing lead time]]</f>
        <v>50</v>
      </c>
      <c r="AE19" s="49">
        <f>Table3[[#This Row],[Shipping costs]]/Table3[[#This Row],[Number of products sold]]</f>
        <v>7.3129033582124648E-3</v>
      </c>
      <c r="AF19" s="48" t="str">
        <f>IF(AND(Table3[[#This Row],[Total Lead Time]]&gt;Calculations!$B$6,
        Table3[[#This Row],[Defect rates]]&gt;Calculations!$B$7),
   "Underperforming",
   IF(Table3[[#This Row],[Total Lead Time]]&gt;Calculations!$B$6,
      "Slow",
      IF(Table3[[#This Row],[Defect rates]]&gt;Calculations!$B$7,
         "Quality Issue",
         "Good")))</f>
        <v>Slow</v>
      </c>
    </row>
    <row r="20" spans="1:32" x14ac:dyDescent="0.3">
      <c r="A20" s="2" t="s">
        <v>155</v>
      </c>
      <c r="B20" s="5" t="s">
        <v>90</v>
      </c>
      <c r="C20" s="15">
        <v>9.8130025787540518</v>
      </c>
      <c r="D20" s="6">
        <v>34</v>
      </c>
      <c r="E20" s="22">
        <v>963</v>
      </c>
      <c r="F20" s="29">
        <v>7573.4024578487333</v>
      </c>
      <c r="G20" s="5" t="s">
        <v>35</v>
      </c>
      <c r="H20" s="6">
        <v>18</v>
      </c>
      <c r="I20" s="6">
        <v>23</v>
      </c>
      <c r="J20" s="6">
        <v>28</v>
      </c>
      <c r="K20" s="6">
        <v>3</v>
      </c>
      <c r="L20" s="5" t="s">
        <v>27</v>
      </c>
      <c r="M20" s="29">
        <v>2.107951267159081</v>
      </c>
      <c r="N20" s="5" t="s">
        <v>61</v>
      </c>
      <c r="O20" s="5" t="s">
        <v>50</v>
      </c>
      <c r="P20" s="6">
        <v>26</v>
      </c>
      <c r="Q20" s="6">
        <v>671</v>
      </c>
      <c r="R20" s="6">
        <v>19</v>
      </c>
      <c r="S20" s="29">
        <v>45.531364237162144</v>
      </c>
      <c r="T20" s="5" t="s">
        <v>46</v>
      </c>
      <c r="U20" s="36">
        <v>3.8055333792433539E-2</v>
      </c>
      <c r="V20" s="5" t="s">
        <v>40</v>
      </c>
      <c r="W20" s="5" t="s">
        <v>41</v>
      </c>
      <c r="X20" s="41">
        <v>403.8089742481805</v>
      </c>
      <c r="Y20" s="16">
        <f t="shared" si="0"/>
        <v>7169.5934836005526</v>
      </c>
      <c r="Z20" s="47">
        <f>(Table3[[#This Row],[Revenue generated]]-Table3[[#This Row],[Costs]])/Table3[[#This Row],[Revenue generated]]</f>
        <v>0.94668063971304062</v>
      </c>
      <c r="AA20" s="46" t="str">
        <f>IF(Table3[[#This Row],[Stock levels]]&lt;Table3[[#This Row],[Order quantities]]*0.2,"Critical",IF(Table3[[#This Row],[Stock levels]]&lt;Table3[[#This Row],[Order quantities]]*0.5,"low","Adquate"))</f>
        <v>Adquate</v>
      </c>
      <c r="AB20" s="46" t="str">
        <f>IF( F20 &gt;=Calculations!$B$3,"High",
   IF(F20 &gt;=Calculations!$B$2,"Medium",
   "Low"))</f>
        <v>Medium</v>
      </c>
      <c r="AC20" s="46" t="str">
        <f>_xlfn.IFS(Table3[[#This Row],[Defect rates]] &lt; 0.02,"Excellent",Table3[[#This Row],[Defect rates]] &lt; 0.05,"Acceptable",Table3[[#This Row],[Defect rates]] &lt; 0.1,"Concerning",Table3[[#This Row],[Defect rates]] &gt; 0.1,"Critical")</f>
        <v>Acceptable</v>
      </c>
      <c r="AD20" s="48">
        <f xml:space="preserve"> Table3[[#This Row],[order Lead times]]+Table3[[#This Row],[Manufacturing lead time]]</f>
        <v>42</v>
      </c>
      <c r="AE20" s="49">
        <f>Table3[[#This Row],[Shipping costs]]/Table3[[#This Row],[Number of products sold]]</f>
        <v>2.1889421258142064E-3</v>
      </c>
      <c r="AF20" s="48" t="str">
        <f>IF(AND(Table3[[#This Row],[Total Lead Time]]&gt;Calculations!$B$6,
        Table3[[#This Row],[Defect rates]]&gt;Calculations!$B$7),
   "Underperforming",
   IF(Table3[[#This Row],[Total Lead Time]]&gt;Calculations!$B$6,
      "Slow",
      IF(Table3[[#This Row],[Defect rates]]&gt;Calculations!$B$7,
         "Quality Issue",
         "Good")))</f>
        <v>Slow</v>
      </c>
    </row>
    <row r="21" spans="1:32" x14ac:dyDescent="0.3">
      <c r="A21" s="2" t="s">
        <v>156</v>
      </c>
      <c r="B21" s="3" t="s">
        <v>79</v>
      </c>
      <c r="C21" s="16">
        <v>39.629343985092625</v>
      </c>
      <c r="D21" s="4">
        <v>73</v>
      </c>
      <c r="E21" s="23">
        <v>142</v>
      </c>
      <c r="F21" s="28">
        <v>2174.777054350654</v>
      </c>
      <c r="G21" s="3" t="s">
        <v>55</v>
      </c>
      <c r="H21" s="4">
        <v>82</v>
      </c>
      <c r="I21" s="4">
        <v>11</v>
      </c>
      <c r="J21" s="4">
        <v>52</v>
      </c>
      <c r="K21" s="4">
        <v>3</v>
      </c>
      <c r="L21" s="3" t="s">
        <v>43</v>
      </c>
      <c r="M21" s="28">
        <v>2.2310736812817278</v>
      </c>
      <c r="N21" s="3" t="s">
        <v>52</v>
      </c>
      <c r="O21" s="3" t="s">
        <v>45</v>
      </c>
      <c r="P21" s="4">
        <v>19</v>
      </c>
      <c r="Q21" s="4">
        <v>934</v>
      </c>
      <c r="R21" s="4">
        <v>23</v>
      </c>
      <c r="S21" s="28">
        <v>78.280383118415386</v>
      </c>
      <c r="T21" s="3" t="s">
        <v>30</v>
      </c>
      <c r="U21" s="35">
        <v>3.7972312171141831E-2</v>
      </c>
      <c r="V21" s="3" t="s">
        <v>31</v>
      </c>
      <c r="W21" s="3" t="s">
        <v>32</v>
      </c>
      <c r="X21" s="40">
        <v>458.53594573920907</v>
      </c>
      <c r="Y21" s="16">
        <f t="shared" si="0"/>
        <v>1716.2411086114448</v>
      </c>
      <c r="Z21" s="47">
        <f>(Table3[[#This Row],[Revenue generated]]-Table3[[#This Row],[Costs]])/Table3[[#This Row],[Revenue generated]]</f>
        <v>0.78915726335170522</v>
      </c>
      <c r="AA21" s="46" t="str">
        <f>IF(Table3[[#This Row],[Stock levels]]&lt;Table3[[#This Row],[Order quantities]]*0.2,"Critical",IF(Table3[[#This Row],[Stock levels]]&lt;Table3[[#This Row],[Order quantities]]*0.5,"low","Adquate"))</f>
        <v>Adquate</v>
      </c>
      <c r="AB21" s="46" t="str">
        <f>IF( F21 &gt;=Calculations!$B$3,"High",
   IF(F21 &gt;=Calculations!$B$2,"Medium",
   "Low"))</f>
        <v>Low</v>
      </c>
      <c r="AC21" s="46" t="str">
        <f>_xlfn.IFS(Table3[[#This Row],[Defect rates]] &lt; 0.02,"Excellent",Table3[[#This Row],[Defect rates]] &lt; 0.05,"Acceptable",Table3[[#This Row],[Defect rates]] &lt; 0.1,"Concerning",Table3[[#This Row],[Defect rates]] &gt; 0.1,"Critical")</f>
        <v>Acceptable</v>
      </c>
      <c r="AD21" s="48">
        <f xml:space="preserve"> Table3[[#This Row],[order Lead times]]+Table3[[#This Row],[Manufacturing lead time]]</f>
        <v>34</v>
      </c>
      <c r="AE21" s="49">
        <f>Table3[[#This Row],[Shipping costs]]/Table3[[#This Row],[Number of products sold]]</f>
        <v>1.571178648789949E-2</v>
      </c>
      <c r="AF21" s="48" t="str">
        <f>IF(AND(Table3[[#This Row],[Total Lead Time]]&gt;Calculations!$B$6,
        Table3[[#This Row],[Defect rates]]&gt;Calculations!$B$7),
   "Underperforming",
   IF(Table3[[#This Row],[Total Lead Time]]&gt;Calculations!$B$6,
      "Slow",
      IF(Table3[[#This Row],[Defect rates]]&gt;Calculations!$B$7,
         "Quality Issue",
         "Good")))</f>
        <v>Good</v>
      </c>
    </row>
    <row r="22" spans="1:32" x14ac:dyDescent="0.3">
      <c r="A22" s="2" t="s">
        <v>157</v>
      </c>
      <c r="B22" s="3" t="s">
        <v>141</v>
      </c>
      <c r="C22" s="16">
        <v>80.41403665035574</v>
      </c>
      <c r="D22" s="4">
        <v>24</v>
      </c>
      <c r="E22" s="23">
        <v>79</v>
      </c>
      <c r="F22" s="28">
        <v>5133.8467010866916</v>
      </c>
      <c r="G22" s="3" t="s">
        <v>55</v>
      </c>
      <c r="H22" s="4">
        <v>5</v>
      </c>
      <c r="I22" s="4">
        <v>7</v>
      </c>
      <c r="J22" s="4">
        <v>55</v>
      </c>
      <c r="K22" s="4">
        <v>10</v>
      </c>
      <c r="L22" s="3" t="s">
        <v>36</v>
      </c>
      <c r="M22" s="28">
        <v>6.5758037975485353</v>
      </c>
      <c r="N22" s="3" t="s">
        <v>28</v>
      </c>
      <c r="O22" s="3" t="s">
        <v>62</v>
      </c>
      <c r="P22" s="4">
        <v>27</v>
      </c>
      <c r="Q22" s="4">
        <v>523</v>
      </c>
      <c r="R22" s="4">
        <v>17</v>
      </c>
      <c r="S22" s="28">
        <v>28.69699682414317</v>
      </c>
      <c r="T22" s="3" t="s">
        <v>46</v>
      </c>
      <c r="U22" s="35">
        <v>3.6937377878392755E-2</v>
      </c>
      <c r="V22" s="3" t="s">
        <v>56</v>
      </c>
      <c r="W22" s="3" t="s">
        <v>32</v>
      </c>
      <c r="X22" s="40">
        <v>879.3592177349243</v>
      </c>
      <c r="Y22" s="16">
        <f t="shared" si="0"/>
        <v>4254.487483351767</v>
      </c>
      <c r="Z22" s="47">
        <f>(Table3[[#This Row],[Revenue generated]]-Table3[[#This Row],[Costs]])/Table3[[#This Row],[Revenue generated]]</f>
        <v>0.82871338609530576</v>
      </c>
      <c r="AA22" s="46" t="str">
        <f>IF(Table3[[#This Row],[Stock levels]]&lt;Table3[[#This Row],[Order quantities]]*0.2,"Critical",IF(Table3[[#This Row],[Stock levels]]&lt;Table3[[#This Row],[Order quantities]]*0.5,"low","Adquate"))</f>
        <v>Critical</v>
      </c>
      <c r="AB22" s="46" t="str">
        <f>IF( F22 &gt;=Calculations!$B$3,"High",
   IF(F22 &gt;=Calculations!$B$2,"Medium",
   "Low"))</f>
        <v>Medium</v>
      </c>
      <c r="AC22" s="46" t="str">
        <f>_xlfn.IFS(Table3[[#This Row],[Defect rates]] &lt; 0.02,"Excellent",Table3[[#This Row],[Defect rates]] &lt; 0.05,"Acceptable",Table3[[#This Row],[Defect rates]] &lt; 0.1,"Concerning",Table3[[#This Row],[Defect rates]] &gt; 0.1,"Critical")</f>
        <v>Acceptable</v>
      </c>
      <c r="AD22" s="48">
        <f xml:space="preserve"> Table3[[#This Row],[order Lead times]]+Table3[[#This Row],[Manufacturing lead time]]</f>
        <v>24</v>
      </c>
      <c r="AE22" s="49">
        <f>Table3[[#This Row],[Shipping costs]]/Table3[[#This Row],[Number of products sold]]</f>
        <v>8.3238022753778923E-2</v>
      </c>
      <c r="AF22" s="48" t="str">
        <f>IF(AND(Table3[[#This Row],[Total Lead Time]]&gt;Calculations!$B$6,
        Table3[[#This Row],[Defect rates]]&gt;Calculations!$B$7),
   "Underperforming",
   IF(Table3[[#This Row],[Total Lead Time]]&gt;Calculations!$B$6,
      "Slow",
      IF(Table3[[#This Row],[Defect rates]]&gt;Calculations!$B$7,
         "Quality Issue",
         "Good")))</f>
        <v>Good</v>
      </c>
    </row>
    <row r="23" spans="1:32" x14ac:dyDescent="0.3">
      <c r="A23" s="2" t="s">
        <v>156</v>
      </c>
      <c r="B23" s="5" t="s">
        <v>78</v>
      </c>
      <c r="C23" s="15">
        <v>4.1563083593111081</v>
      </c>
      <c r="D23" s="6">
        <v>32</v>
      </c>
      <c r="E23" s="22">
        <v>209</v>
      </c>
      <c r="F23" s="29">
        <v>9049.0778609398967</v>
      </c>
      <c r="G23" s="5" t="s">
        <v>55</v>
      </c>
      <c r="H23" s="6">
        <v>4</v>
      </c>
      <c r="I23" s="6">
        <v>26</v>
      </c>
      <c r="J23" s="6">
        <v>2</v>
      </c>
      <c r="K23" s="6">
        <v>8</v>
      </c>
      <c r="L23" s="5" t="s">
        <v>43</v>
      </c>
      <c r="M23" s="29">
        <v>9.7412916892843686</v>
      </c>
      <c r="N23" s="5" t="s">
        <v>61</v>
      </c>
      <c r="O23" s="5" t="s">
        <v>53</v>
      </c>
      <c r="P23" s="6">
        <v>28</v>
      </c>
      <c r="Q23" s="6">
        <v>447</v>
      </c>
      <c r="R23" s="6">
        <v>3</v>
      </c>
      <c r="S23" s="29">
        <v>40.382359702924816</v>
      </c>
      <c r="T23" s="5" t="s">
        <v>30</v>
      </c>
      <c r="U23" s="36">
        <v>3.6913102926287279E-2</v>
      </c>
      <c r="V23" s="5" t="s">
        <v>40</v>
      </c>
      <c r="W23" s="5" t="s">
        <v>48</v>
      </c>
      <c r="X23" s="41">
        <v>758.72477260293829</v>
      </c>
      <c r="Y23" s="16">
        <f t="shared" si="0"/>
        <v>8290.3530883369585</v>
      </c>
      <c r="Z23" s="47">
        <f>(Table3[[#This Row],[Revenue generated]]-Table3[[#This Row],[Costs]])/Table3[[#This Row],[Revenue generated]]</f>
        <v>0.91615446521043287</v>
      </c>
      <c r="AA23" s="46" t="str">
        <f>IF(Table3[[#This Row],[Stock levels]]&lt;Table3[[#This Row],[Order quantities]]*0.2,"Critical",IF(Table3[[#This Row],[Stock levels]]&lt;Table3[[#This Row],[Order quantities]]*0.5,"low","Adquate"))</f>
        <v>Adquate</v>
      </c>
      <c r="AB23" s="46" t="str">
        <f>IF( F23 &gt;=Calculations!$B$3,"High",
   IF(F23 &gt;=Calculations!$B$2,"Medium",
   "Low"))</f>
        <v>High</v>
      </c>
      <c r="AC23" s="46" t="str">
        <f>_xlfn.IFS(Table3[[#This Row],[Defect rates]] &lt; 0.02,"Excellent",Table3[[#This Row],[Defect rates]] &lt; 0.05,"Acceptable",Table3[[#This Row],[Defect rates]] &lt; 0.1,"Concerning",Table3[[#This Row],[Defect rates]] &gt; 0.1,"Critical")</f>
        <v>Acceptable</v>
      </c>
      <c r="AD23" s="48">
        <f xml:space="preserve"> Table3[[#This Row],[order Lead times]]+Table3[[#This Row],[Manufacturing lead time]]</f>
        <v>29</v>
      </c>
      <c r="AE23" s="49">
        <f>Table3[[#This Row],[Shipping costs]]/Table3[[#This Row],[Number of products sold]]</f>
        <v>4.6609051144901284E-2</v>
      </c>
      <c r="AF23" s="48" t="str">
        <f>IF(AND(Table3[[#This Row],[Total Lead Time]]&gt;Calculations!$B$6,
        Table3[[#This Row],[Defect rates]]&gt;Calculations!$B$7),
   "Underperforming",
   IF(Table3[[#This Row],[Total Lead Time]]&gt;Calculations!$B$6,
      "Slow",
      IF(Table3[[#This Row],[Defect rates]]&gt;Calculations!$B$7,
         "Quality Issue",
         "Good")))</f>
        <v>Good</v>
      </c>
    </row>
    <row r="24" spans="1:32" x14ac:dyDescent="0.3">
      <c r="A24" s="2" t="s">
        <v>155</v>
      </c>
      <c r="B24" s="5" t="s">
        <v>100</v>
      </c>
      <c r="C24" s="15">
        <v>27.082207199888899</v>
      </c>
      <c r="D24" s="6">
        <v>75</v>
      </c>
      <c r="E24" s="22">
        <v>859</v>
      </c>
      <c r="F24" s="29">
        <v>2556.7673606335957</v>
      </c>
      <c r="G24" s="5" t="s">
        <v>26</v>
      </c>
      <c r="H24" s="6">
        <v>92</v>
      </c>
      <c r="I24" s="6">
        <v>29</v>
      </c>
      <c r="J24" s="6">
        <v>6</v>
      </c>
      <c r="K24" s="6">
        <v>8</v>
      </c>
      <c r="L24" s="5" t="s">
        <v>27</v>
      </c>
      <c r="M24" s="29">
        <v>4.0709558370840826</v>
      </c>
      <c r="N24" s="5" t="s">
        <v>28</v>
      </c>
      <c r="O24" s="5" t="s">
        <v>62</v>
      </c>
      <c r="P24" s="6">
        <v>18</v>
      </c>
      <c r="Q24" s="6">
        <v>870</v>
      </c>
      <c r="R24" s="6">
        <v>23</v>
      </c>
      <c r="S24" s="29">
        <v>77.32235321105162</v>
      </c>
      <c r="T24" s="5" t="s">
        <v>30</v>
      </c>
      <c r="U24" s="36">
        <v>3.6486105925362035E-2</v>
      </c>
      <c r="V24" s="5" t="s">
        <v>31</v>
      </c>
      <c r="W24" s="5" t="s">
        <v>32</v>
      </c>
      <c r="X24" s="41">
        <v>380.43593711196428</v>
      </c>
      <c r="Y24" s="16">
        <f t="shared" si="0"/>
        <v>2176.3314235216312</v>
      </c>
      <c r="Z24" s="47">
        <f>(Table3[[#This Row],[Revenue generated]]-Table3[[#This Row],[Costs]])/Table3[[#This Row],[Revenue generated]]</f>
        <v>0.85120432035799765</v>
      </c>
      <c r="AA24" s="46" t="str">
        <f>IF(Table3[[#This Row],[Stock levels]]&lt;Table3[[#This Row],[Order quantities]]*0.2,"Critical",IF(Table3[[#This Row],[Stock levels]]&lt;Table3[[#This Row],[Order quantities]]*0.5,"low","Adquate"))</f>
        <v>Adquate</v>
      </c>
      <c r="AB24" s="46" t="str">
        <f>IF( F24 &gt;=Calculations!$B$3,"High",
   IF(F24 &gt;=Calculations!$B$2,"Medium",
   "Low"))</f>
        <v>Low</v>
      </c>
      <c r="AC24" s="46" t="str">
        <f>_xlfn.IFS(Table3[[#This Row],[Defect rates]] &lt; 0.02,"Excellent",Table3[[#This Row],[Defect rates]] &lt; 0.05,"Acceptable",Table3[[#This Row],[Defect rates]] &lt; 0.1,"Concerning",Table3[[#This Row],[Defect rates]] &gt; 0.1,"Critical")</f>
        <v>Acceptable</v>
      </c>
      <c r="AD24" s="48">
        <f xml:space="preserve"> Table3[[#This Row],[order Lead times]]+Table3[[#This Row],[Manufacturing lead time]]</f>
        <v>52</v>
      </c>
      <c r="AE24" s="49">
        <f>Table3[[#This Row],[Shipping costs]]/Table3[[#This Row],[Number of products sold]]</f>
        <v>4.7391802527172091E-3</v>
      </c>
      <c r="AF24" s="48" t="str">
        <f>IF(AND(Table3[[#This Row],[Total Lead Time]]&gt;Calculations!$B$6,
        Table3[[#This Row],[Defect rates]]&gt;Calculations!$B$7),
   "Underperforming",
   IF(Table3[[#This Row],[Total Lead Time]]&gt;Calculations!$B$6,
      "Slow",
      IF(Table3[[#This Row],[Defect rates]]&gt;Calculations!$B$7,
         "Quality Issue",
         "Good")))</f>
        <v>Slow</v>
      </c>
    </row>
    <row r="25" spans="1:32" x14ac:dyDescent="0.3">
      <c r="A25" s="2" t="s">
        <v>155</v>
      </c>
      <c r="B25" s="3" t="s">
        <v>73</v>
      </c>
      <c r="C25" s="16">
        <v>51.12387008796474</v>
      </c>
      <c r="D25" s="4">
        <v>100</v>
      </c>
      <c r="E25" s="23">
        <v>187</v>
      </c>
      <c r="F25" s="28">
        <v>2553.4955849912149</v>
      </c>
      <c r="G25" s="3" t="s">
        <v>38</v>
      </c>
      <c r="H25" s="4">
        <v>48</v>
      </c>
      <c r="I25" s="4">
        <v>11</v>
      </c>
      <c r="J25" s="4">
        <v>94</v>
      </c>
      <c r="K25" s="4">
        <v>3</v>
      </c>
      <c r="L25" s="3" t="s">
        <v>36</v>
      </c>
      <c r="M25" s="28">
        <v>4.7426358828418769</v>
      </c>
      <c r="N25" s="3" t="s">
        <v>52</v>
      </c>
      <c r="O25" s="3" t="s">
        <v>62</v>
      </c>
      <c r="P25" s="4">
        <v>20</v>
      </c>
      <c r="Q25" s="4">
        <v>694</v>
      </c>
      <c r="R25" s="4">
        <v>16</v>
      </c>
      <c r="S25" s="28">
        <v>82.373320587990207</v>
      </c>
      <c r="T25" s="3" t="s">
        <v>46</v>
      </c>
      <c r="U25" s="35">
        <v>3.6464508654170294E-2</v>
      </c>
      <c r="V25" s="3" t="s">
        <v>31</v>
      </c>
      <c r="W25" s="3" t="s">
        <v>41</v>
      </c>
      <c r="X25" s="40">
        <v>477.30763109090344</v>
      </c>
      <c r="Y25" s="16">
        <f t="shared" si="0"/>
        <v>2076.1879539003112</v>
      </c>
      <c r="Z25" s="47">
        <f>(Table3[[#This Row],[Revenue generated]]-Table3[[#This Row],[Costs]])/Table3[[#This Row],[Revenue generated]]</f>
        <v>0.81307677448263693</v>
      </c>
      <c r="AA25" s="46" t="str">
        <f>IF(Table3[[#This Row],[Stock levels]]&lt;Table3[[#This Row],[Order quantities]]*0.2,"Critical",IF(Table3[[#This Row],[Stock levels]]&lt;Table3[[#This Row],[Order quantities]]*0.5,"low","Adquate"))</f>
        <v>Adquate</v>
      </c>
      <c r="AB25" s="46" t="str">
        <f>IF( F25 &gt;=Calculations!$B$3,"High",
   IF(F25 &gt;=Calculations!$B$2,"Medium",
   "Low"))</f>
        <v>Low</v>
      </c>
      <c r="AC25" s="46" t="str">
        <f>_xlfn.IFS(Table3[[#This Row],[Defect rates]] &lt; 0.02,"Excellent",Table3[[#This Row],[Defect rates]] &lt; 0.05,"Acceptable",Table3[[#This Row],[Defect rates]] &lt; 0.1,"Concerning",Table3[[#This Row],[Defect rates]] &gt; 0.1,"Critical")</f>
        <v>Acceptable</v>
      </c>
      <c r="AD25" s="48">
        <f xml:space="preserve"> Table3[[#This Row],[order Lead times]]+Table3[[#This Row],[Manufacturing lead time]]</f>
        <v>27</v>
      </c>
      <c r="AE25" s="49">
        <f>Table3[[#This Row],[Shipping costs]]/Table3[[#This Row],[Number of products sold]]</f>
        <v>2.5361689213058165E-2</v>
      </c>
      <c r="AF25" s="48" t="str">
        <f>IF(AND(Table3[[#This Row],[Total Lead Time]]&gt;Calculations!$B$6,
        Table3[[#This Row],[Defect rates]]&gt;Calculations!$B$7),
   "Underperforming",
   IF(Table3[[#This Row],[Total Lead Time]]&gt;Calculations!$B$6,
      "Slow",
      IF(Table3[[#This Row],[Defect rates]]&gt;Calculations!$B$7,
         "Quality Issue",
         "Good")))</f>
        <v>Good</v>
      </c>
    </row>
    <row r="26" spans="1:32" x14ac:dyDescent="0.3">
      <c r="A26" s="2" t="s">
        <v>155</v>
      </c>
      <c r="B26" s="3" t="s">
        <v>117</v>
      </c>
      <c r="C26" s="16">
        <v>13.017376785287857</v>
      </c>
      <c r="D26" s="4">
        <v>55</v>
      </c>
      <c r="E26" s="23">
        <v>246</v>
      </c>
      <c r="F26" s="28">
        <v>4256.9491408502254</v>
      </c>
      <c r="G26" s="3" t="s">
        <v>26</v>
      </c>
      <c r="H26" s="4">
        <v>54</v>
      </c>
      <c r="I26" s="4">
        <v>19</v>
      </c>
      <c r="J26" s="4">
        <v>10</v>
      </c>
      <c r="K26" s="4">
        <v>4</v>
      </c>
      <c r="L26" s="3" t="s">
        <v>36</v>
      </c>
      <c r="M26" s="28">
        <v>2.45793352798733</v>
      </c>
      <c r="N26" s="3" t="s">
        <v>28</v>
      </c>
      <c r="O26" s="3" t="s">
        <v>53</v>
      </c>
      <c r="P26" s="4">
        <v>18</v>
      </c>
      <c r="Q26" s="4">
        <v>736</v>
      </c>
      <c r="R26" s="4">
        <v>10</v>
      </c>
      <c r="S26" s="28">
        <v>20.075003975630484</v>
      </c>
      <c r="T26" s="3" t="s">
        <v>30</v>
      </c>
      <c r="U26" s="35">
        <v>3.6328432903821338E-2</v>
      </c>
      <c r="V26" s="3" t="s">
        <v>56</v>
      </c>
      <c r="W26" s="3" t="s">
        <v>48</v>
      </c>
      <c r="X26" s="40">
        <v>687.28617786641735</v>
      </c>
      <c r="Y26" s="16">
        <f t="shared" si="0"/>
        <v>3569.662962983808</v>
      </c>
      <c r="Z26" s="47">
        <f>(Table3[[#This Row],[Revenue generated]]-Table3[[#This Row],[Costs]])/Table3[[#This Row],[Revenue generated]]</f>
        <v>0.83854959147359043</v>
      </c>
      <c r="AA26" s="46" t="str">
        <f>IF(Table3[[#This Row],[Stock levels]]&lt;Table3[[#This Row],[Order quantities]]*0.2,"Critical",IF(Table3[[#This Row],[Stock levels]]&lt;Table3[[#This Row],[Order quantities]]*0.5,"low","Adquate"))</f>
        <v>Adquate</v>
      </c>
      <c r="AB26" s="46" t="str">
        <f>IF( F26 &gt;=Calculations!$B$3,"High",
   IF(F26 &gt;=Calculations!$B$2,"Medium",
   "Low"))</f>
        <v>Medium</v>
      </c>
      <c r="AC26" s="46" t="str">
        <f>_xlfn.IFS(Table3[[#This Row],[Defect rates]] &lt; 0.02,"Excellent",Table3[[#This Row],[Defect rates]] &lt; 0.05,"Acceptable",Table3[[#This Row],[Defect rates]] &lt; 0.1,"Concerning",Table3[[#This Row],[Defect rates]] &gt; 0.1,"Critical")</f>
        <v>Acceptable</v>
      </c>
      <c r="AD26" s="48">
        <f xml:space="preserve"> Table3[[#This Row],[order Lead times]]+Table3[[#This Row],[Manufacturing lead time]]</f>
        <v>29</v>
      </c>
      <c r="AE26" s="49">
        <f>Table3[[#This Row],[Shipping costs]]/Table3[[#This Row],[Number of products sold]]</f>
        <v>9.9915997072655693E-3</v>
      </c>
      <c r="AF26" s="48" t="str">
        <f>IF(AND(Table3[[#This Row],[Total Lead Time]]&gt;Calculations!$B$6,
        Table3[[#This Row],[Defect rates]]&gt;Calculations!$B$7),
   "Underperforming",
   IF(Table3[[#This Row],[Total Lead Time]]&gt;Calculations!$B$6,
      "Slow",
      IF(Table3[[#This Row],[Defect rates]]&gt;Calculations!$B$7,
         "Quality Issue",
         "Good")))</f>
        <v>Good</v>
      </c>
    </row>
    <row r="27" spans="1:32" x14ac:dyDescent="0.3">
      <c r="A27" s="2" t="s">
        <v>155</v>
      </c>
      <c r="B27" s="3" t="s">
        <v>87</v>
      </c>
      <c r="C27" s="16">
        <v>64.795435000155607</v>
      </c>
      <c r="D27" s="4">
        <v>63</v>
      </c>
      <c r="E27" s="23">
        <v>616</v>
      </c>
      <c r="F27" s="28">
        <v>5149.9983504080365</v>
      </c>
      <c r="G27" s="3" t="s">
        <v>26</v>
      </c>
      <c r="H27" s="4">
        <v>4</v>
      </c>
      <c r="I27" s="4">
        <v>17</v>
      </c>
      <c r="J27" s="4">
        <v>95</v>
      </c>
      <c r="K27" s="4">
        <v>9</v>
      </c>
      <c r="L27" s="3" t="s">
        <v>43</v>
      </c>
      <c r="M27" s="28">
        <v>4.85827050343664</v>
      </c>
      <c r="N27" s="3" t="s">
        <v>44</v>
      </c>
      <c r="O27" s="3" t="s">
        <v>62</v>
      </c>
      <c r="P27" s="4">
        <v>1</v>
      </c>
      <c r="Q27" s="4">
        <v>251</v>
      </c>
      <c r="R27" s="4">
        <v>23</v>
      </c>
      <c r="S27" s="28">
        <v>23.853427512896133</v>
      </c>
      <c r="T27" s="3" t="s">
        <v>46</v>
      </c>
      <c r="U27" s="35">
        <v>3.541046012250923E-2</v>
      </c>
      <c r="V27" s="3" t="s">
        <v>56</v>
      </c>
      <c r="W27" s="3" t="s">
        <v>48</v>
      </c>
      <c r="X27" s="40">
        <v>371.25529551987103</v>
      </c>
      <c r="Y27" s="16">
        <f t="shared" si="0"/>
        <v>4778.7430548881657</v>
      </c>
      <c r="Z27" s="47">
        <f>(Table3[[#This Row],[Revenue generated]]-Table3[[#This Row],[Costs]])/Table3[[#This Row],[Revenue generated]]</f>
        <v>0.92791157001235625</v>
      </c>
      <c r="AA27" s="46" t="str">
        <f>IF(Table3[[#This Row],[Stock levels]]&lt;Table3[[#This Row],[Order quantities]]*0.2,"Critical",IF(Table3[[#This Row],[Stock levels]]&lt;Table3[[#This Row],[Order quantities]]*0.5,"low","Adquate"))</f>
        <v>Critical</v>
      </c>
      <c r="AB27" s="46" t="str">
        <f>IF( F27 &gt;=Calculations!$B$3,"High",
   IF(F27 &gt;=Calculations!$B$2,"Medium",
   "Low"))</f>
        <v>Medium</v>
      </c>
      <c r="AC27" s="46" t="str">
        <f>_xlfn.IFS(Table3[[#This Row],[Defect rates]] &lt; 0.02,"Excellent",Table3[[#This Row],[Defect rates]] &lt; 0.05,"Acceptable",Table3[[#This Row],[Defect rates]] &lt; 0.1,"Concerning",Table3[[#This Row],[Defect rates]] &gt; 0.1,"Critical")</f>
        <v>Acceptable</v>
      </c>
      <c r="AD27" s="48">
        <f xml:space="preserve"> Table3[[#This Row],[order Lead times]]+Table3[[#This Row],[Manufacturing lead time]]</f>
        <v>40</v>
      </c>
      <c r="AE27" s="49">
        <f>Table3[[#This Row],[Shipping costs]]/Table3[[#This Row],[Number of products sold]]</f>
        <v>7.8868027653192212E-3</v>
      </c>
      <c r="AF27" s="48" t="str">
        <f>IF(AND(Table3[[#This Row],[Total Lead Time]]&gt;Calculations!$B$6,
        Table3[[#This Row],[Defect rates]]&gt;Calculations!$B$7),
   "Underperforming",
   IF(Table3[[#This Row],[Total Lead Time]]&gt;Calculations!$B$6,
      "Slow",
      IF(Table3[[#This Row],[Defect rates]]&gt;Calculations!$B$7,
         "Quality Issue",
         "Good")))</f>
        <v>Slow</v>
      </c>
    </row>
    <row r="28" spans="1:32" x14ac:dyDescent="0.3">
      <c r="A28" s="2" t="s">
        <v>155</v>
      </c>
      <c r="B28" s="5" t="s">
        <v>120</v>
      </c>
      <c r="C28" s="15">
        <v>26.034869773962086</v>
      </c>
      <c r="D28" s="6">
        <v>52</v>
      </c>
      <c r="E28" s="22">
        <v>704</v>
      </c>
      <c r="F28" s="29">
        <v>8367.721618020154</v>
      </c>
      <c r="G28" s="5" t="s">
        <v>35</v>
      </c>
      <c r="H28" s="6">
        <v>13</v>
      </c>
      <c r="I28" s="6">
        <v>17</v>
      </c>
      <c r="J28" s="6">
        <v>19</v>
      </c>
      <c r="K28" s="6">
        <v>8</v>
      </c>
      <c r="L28" s="5" t="s">
        <v>36</v>
      </c>
      <c r="M28" s="29">
        <v>2.2161427287713633</v>
      </c>
      <c r="N28" s="5" t="s">
        <v>44</v>
      </c>
      <c r="O28" s="5" t="s">
        <v>45</v>
      </c>
      <c r="P28" s="6">
        <v>24</v>
      </c>
      <c r="Q28" s="6">
        <v>867</v>
      </c>
      <c r="R28" s="6">
        <v>28</v>
      </c>
      <c r="S28" s="29">
        <v>42.084436738309961</v>
      </c>
      <c r="T28" s="5" t="s">
        <v>46</v>
      </c>
      <c r="U28" s="36">
        <v>3.4480632883402619E-2</v>
      </c>
      <c r="V28" s="5" t="s">
        <v>31</v>
      </c>
      <c r="W28" s="5" t="s">
        <v>48</v>
      </c>
      <c r="X28" s="41">
        <v>393.84334857842788</v>
      </c>
      <c r="Y28" s="16">
        <f t="shared" si="0"/>
        <v>7973.8782694417259</v>
      </c>
      <c r="Z28" s="47">
        <f>(Table3[[#This Row],[Revenue generated]]-Table3[[#This Row],[Costs]])/Table3[[#This Row],[Revenue generated]]</f>
        <v>0.95293302447702444</v>
      </c>
      <c r="AA28" s="46" t="str">
        <f>IF(Table3[[#This Row],[Stock levels]]&lt;Table3[[#This Row],[Order quantities]]*0.2,"Critical",IF(Table3[[#This Row],[Stock levels]]&lt;Table3[[#This Row],[Order quantities]]*0.5,"low","Adquate"))</f>
        <v>Adquate</v>
      </c>
      <c r="AB28" s="46" t="str">
        <f>IF( F28 &gt;=Calculations!$B$3,"High",
   IF(F28 &gt;=Calculations!$B$2,"Medium",
   "Low"))</f>
        <v>High</v>
      </c>
      <c r="AC28" s="46" t="str">
        <f>_xlfn.IFS(Table3[[#This Row],[Defect rates]] &lt; 0.02,"Excellent",Table3[[#This Row],[Defect rates]] &lt; 0.05,"Acceptable",Table3[[#This Row],[Defect rates]] &lt; 0.1,"Concerning",Table3[[#This Row],[Defect rates]] &gt; 0.1,"Critical")</f>
        <v>Acceptable</v>
      </c>
      <c r="AD28" s="48">
        <f xml:space="preserve"> Table3[[#This Row],[order Lead times]]+Table3[[#This Row],[Manufacturing lead time]]</f>
        <v>45</v>
      </c>
      <c r="AE28" s="49">
        <f>Table3[[#This Row],[Shipping costs]]/Table3[[#This Row],[Number of products sold]]</f>
        <v>3.1479300124593228E-3</v>
      </c>
      <c r="AF28" s="48" t="str">
        <f>IF(AND(Table3[[#This Row],[Total Lead Time]]&gt;Calculations!$B$6,
        Table3[[#This Row],[Defect rates]]&gt;Calculations!$B$7),
   "Underperforming",
   IF(Table3[[#This Row],[Total Lead Time]]&gt;Calculations!$B$6,
      "Slow",
      IF(Table3[[#This Row],[Defect rates]]&gt;Calculations!$B$7,
         "Quality Issue",
         "Good")))</f>
        <v>Slow</v>
      </c>
    </row>
    <row r="29" spans="1:32" x14ac:dyDescent="0.3">
      <c r="A29" s="2" t="s">
        <v>155</v>
      </c>
      <c r="B29" s="3" t="s">
        <v>151</v>
      </c>
      <c r="C29" s="16">
        <v>3.5261112591434158</v>
      </c>
      <c r="D29" s="4">
        <v>56</v>
      </c>
      <c r="E29" s="23">
        <v>62</v>
      </c>
      <c r="F29" s="28">
        <v>4370.9165799845359</v>
      </c>
      <c r="G29" s="3" t="s">
        <v>55</v>
      </c>
      <c r="H29" s="4">
        <v>46</v>
      </c>
      <c r="I29" s="4">
        <v>19</v>
      </c>
      <c r="J29" s="4">
        <v>4</v>
      </c>
      <c r="K29" s="4">
        <v>9</v>
      </c>
      <c r="L29" s="3" t="s">
        <v>36</v>
      </c>
      <c r="M29" s="28">
        <v>7.9048456112096748</v>
      </c>
      <c r="N29" s="3" t="s">
        <v>52</v>
      </c>
      <c r="O29" s="3" t="s">
        <v>29</v>
      </c>
      <c r="P29" s="4">
        <v>10</v>
      </c>
      <c r="Q29" s="4">
        <v>535</v>
      </c>
      <c r="R29" s="4">
        <v>13</v>
      </c>
      <c r="S29" s="28">
        <v>65.765155926367456</v>
      </c>
      <c r="T29" s="3" t="s">
        <v>46</v>
      </c>
      <c r="U29" s="35">
        <v>3.3762378347179808E-2</v>
      </c>
      <c r="V29" s="3" t="s">
        <v>31</v>
      </c>
      <c r="W29" s="3" t="s">
        <v>48</v>
      </c>
      <c r="X29" s="40">
        <v>540.13242286796776</v>
      </c>
      <c r="Y29" s="16">
        <f t="shared" si="0"/>
        <v>3830.7841571165682</v>
      </c>
      <c r="Z29" s="47">
        <f>(Table3[[#This Row],[Revenue generated]]-Table3[[#This Row],[Costs]])/Table3[[#This Row],[Revenue generated]]</f>
        <v>0.87642582213960285</v>
      </c>
      <c r="AA29" s="46" t="str">
        <f>IF(Table3[[#This Row],[Stock levels]]&lt;Table3[[#This Row],[Order quantities]]*0.2,"Critical",IF(Table3[[#This Row],[Stock levels]]&lt;Table3[[#This Row],[Order quantities]]*0.5,"low","Adquate"))</f>
        <v>Adquate</v>
      </c>
      <c r="AB29" s="46" t="str">
        <f>IF( F29 &gt;=Calculations!$B$3,"High",
   IF(F29 &gt;=Calculations!$B$2,"Medium",
   "Low"))</f>
        <v>Medium</v>
      </c>
      <c r="AC29" s="46" t="str">
        <f>_xlfn.IFS(Table3[[#This Row],[Defect rates]] &lt; 0.02,"Excellent",Table3[[#This Row],[Defect rates]] &lt; 0.05,"Acceptable",Table3[[#This Row],[Defect rates]] &lt; 0.1,"Concerning",Table3[[#This Row],[Defect rates]] &gt; 0.1,"Critical")</f>
        <v>Acceptable</v>
      </c>
      <c r="AD29" s="48">
        <f xml:space="preserve"> Table3[[#This Row],[order Lead times]]+Table3[[#This Row],[Manufacturing lead time]]</f>
        <v>32</v>
      </c>
      <c r="AE29" s="49">
        <f>Table3[[#This Row],[Shipping costs]]/Table3[[#This Row],[Number of products sold]]</f>
        <v>0.12749750985822056</v>
      </c>
      <c r="AF29" s="48" t="str">
        <f>IF(AND(Table3[[#This Row],[Total Lead Time]]&gt;Calculations!$B$6,
        Table3[[#This Row],[Defect rates]]&gt;Calculations!$B$7),
   "Underperforming",
   IF(Table3[[#This Row],[Total Lead Time]]&gt;Calculations!$B$6,
      "Slow",
      IF(Table3[[#This Row],[Defect rates]]&gt;Calculations!$B$7,
         "Quality Issue",
         "Good")))</f>
        <v>Good</v>
      </c>
    </row>
    <row r="30" spans="1:32" x14ac:dyDescent="0.3">
      <c r="A30" s="2" t="s">
        <v>156</v>
      </c>
      <c r="B30" s="3" t="s">
        <v>99</v>
      </c>
      <c r="C30" s="16">
        <v>33.78413803306551</v>
      </c>
      <c r="D30" s="4">
        <v>1</v>
      </c>
      <c r="E30" s="23">
        <v>24</v>
      </c>
      <c r="F30" s="28">
        <v>5267.9568075105208</v>
      </c>
      <c r="G30" s="3" t="s">
        <v>55</v>
      </c>
      <c r="H30" s="4">
        <v>93</v>
      </c>
      <c r="I30" s="4">
        <v>7</v>
      </c>
      <c r="J30" s="4">
        <v>52</v>
      </c>
      <c r="K30" s="4">
        <v>6</v>
      </c>
      <c r="L30" s="3" t="s">
        <v>27</v>
      </c>
      <c r="M30" s="28">
        <v>5.2151550087119096</v>
      </c>
      <c r="N30" s="3" t="s">
        <v>61</v>
      </c>
      <c r="O30" s="3" t="s">
        <v>62</v>
      </c>
      <c r="P30" s="4">
        <v>25</v>
      </c>
      <c r="Q30" s="4">
        <v>794</v>
      </c>
      <c r="R30" s="4">
        <v>25</v>
      </c>
      <c r="S30" s="28">
        <v>66.312544439991655</v>
      </c>
      <c r="T30" s="3" t="s">
        <v>64</v>
      </c>
      <c r="U30" s="35">
        <v>3.2196046120841058E-2</v>
      </c>
      <c r="V30" s="3" t="s">
        <v>47</v>
      </c>
      <c r="W30" s="3" t="s">
        <v>48</v>
      </c>
      <c r="X30" s="40">
        <v>495.30569702847396</v>
      </c>
      <c r="Y30" s="16">
        <f t="shared" si="0"/>
        <v>4772.6511104820465</v>
      </c>
      <c r="Z30" s="47">
        <f>(Table3[[#This Row],[Revenue generated]]-Table3[[#This Row],[Costs]])/Table3[[#This Row],[Revenue generated]]</f>
        <v>0.90597764652847623</v>
      </c>
      <c r="AA30" s="46" t="str">
        <f>IF(Table3[[#This Row],[Stock levels]]&lt;Table3[[#This Row],[Order quantities]]*0.2,"Critical",IF(Table3[[#This Row],[Stock levels]]&lt;Table3[[#This Row],[Order quantities]]*0.5,"low","Adquate"))</f>
        <v>Adquate</v>
      </c>
      <c r="AB30" s="46" t="str">
        <f>IF( F30 &gt;=Calculations!$B$3,"High",
   IF(F30 &gt;=Calculations!$B$2,"Medium",
   "Low"))</f>
        <v>Medium</v>
      </c>
      <c r="AC30" s="46" t="str">
        <f>_xlfn.IFS(Table3[[#This Row],[Defect rates]] &lt; 0.02,"Excellent",Table3[[#This Row],[Defect rates]] &lt; 0.05,"Acceptable",Table3[[#This Row],[Defect rates]] &lt; 0.1,"Concerning",Table3[[#This Row],[Defect rates]] &gt; 0.1,"Critical")</f>
        <v>Acceptable</v>
      </c>
      <c r="AD30" s="48">
        <f xml:space="preserve"> Table3[[#This Row],[order Lead times]]+Table3[[#This Row],[Manufacturing lead time]]</f>
        <v>32</v>
      </c>
      <c r="AE30" s="49">
        <f>Table3[[#This Row],[Shipping costs]]/Table3[[#This Row],[Number of products sold]]</f>
        <v>0.21729812536299623</v>
      </c>
      <c r="AF30" s="48" t="str">
        <f>IF(AND(Table3[[#This Row],[Total Lead Time]]&gt;Calculations!$B$6,
        Table3[[#This Row],[Defect rates]]&gt;Calculations!$B$7),
   "Underperforming",
   IF(Table3[[#This Row],[Total Lead Time]]&gt;Calculations!$B$6,
      "Slow",
      IF(Table3[[#This Row],[Defect rates]]&gt;Calculations!$B$7,
         "Quality Issue",
         "Good")))</f>
        <v>Good</v>
      </c>
    </row>
    <row r="31" spans="1:32" x14ac:dyDescent="0.3">
      <c r="A31" s="2" t="s">
        <v>157</v>
      </c>
      <c r="B31" s="5" t="s">
        <v>126</v>
      </c>
      <c r="C31" s="15">
        <v>90.204427520528071</v>
      </c>
      <c r="D31" s="6">
        <v>88</v>
      </c>
      <c r="E31" s="22">
        <v>478</v>
      </c>
      <c r="F31" s="29">
        <v>2633.1219813122557</v>
      </c>
      <c r="G31" s="5" t="s">
        <v>26</v>
      </c>
      <c r="H31" s="6">
        <v>57</v>
      </c>
      <c r="I31" s="6">
        <v>29</v>
      </c>
      <c r="J31" s="6">
        <v>77</v>
      </c>
      <c r="K31" s="6">
        <v>9</v>
      </c>
      <c r="L31" s="5" t="s">
        <v>36</v>
      </c>
      <c r="M31" s="29">
        <v>6.5996141596895441</v>
      </c>
      <c r="N31" s="5" t="s">
        <v>39</v>
      </c>
      <c r="O31" s="5" t="s">
        <v>53</v>
      </c>
      <c r="P31" s="6">
        <v>21</v>
      </c>
      <c r="Q31" s="6">
        <v>152</v>
      </c>
      <c r="R31" s="6">
        <v>11</v>
      </c>
      <c r="S31" s="29">
        <v>55.760492895244212</v>
      </c>
      <c r="T31" s="5" t="s">
        <v>30</v>
      </c>
      <c r="U31" s="36">
        <v>3.2133296074383089E-2</v>
      </c>
      <c r="V31" s="5" t="s">
        <v>47</v>
      </c>
      <c r="W31" s="5" t="s">
        <v>32</v>
      </c>
      <c r="X31" s="41">
        <v>677.9445698461833</v>
      </c>
      <c r="Y31" s="16">
        <f t="shared" si="0"/>
        <v>1955.1774114660725</v>
      </c>
      <c r="Z31" s="47">
        <f>(Table3[[#This Row],[Revenue generated]]-Table3[[#This Row],[Costs]])/Table3[[#This Row],[Revenue generated]]</f>
        <v>0.74253203054864958</v>
      </c>
      <c r="AA31" s="46" t="str">
        <f>IF(Table3[[#This Row],[Stock levels]]&lt;Table3[[#This Row],[Order quantities]]*0.2,"Critical",IF(Table3[[#This Row],[Stock levels]]&lt;Table3[[#This Row],[Order quantities]]*0.5,"low","Adquate"))</f>
        <v>Adquate</v>
      </c>
      <c r="AB31" s="46" t="str">
        <f>IF( F31 &gt;=Calculations!$B$3,"High",
   IF(F31 &gt;=Calculations!$B$2,"Medium",
   "Low"))</f>
        <v>Low</v>
      </c>
      <c r="AC31" s="46" t="str">
        <f>_xlfn.IFS(Table3[[#This Row],[Defect rates]] &lt; 0.02,"Excellent",Table3[[#This Row],[Defect rates]] &lt; 0.05,"Acceptable",Table3[[#This Row],[Defect rates]] &lt; 0.1,"Concerning",Table3[[#This Row],[Defect rates]] &gt; 0.1,"Critical")</f>
        <v>Acceptable</v>
      </c>
      <c r="AD31" s="48">
        <f xml:space="preserve"> Table3[[#This Row],[order Lead times]]+Table3[[#This Row],[Manufacturing lead time]]</f>
        <v>40</v>
      </c>
      <c r="AE31" s="49">
        <f>Table3[[#This Row],[Shipping costs]]/Table3[[#This Row],[Number of products sold]]</f>
        <v>1.3806724183450929E-2</v>
      </c>
      <c r="AF31" s="48" t="str">
        <f>IF(AND(Table3[[#This Row],[Total Lead Time]]&gt;Calculations!$B$6,
        Table3[[#This Row],[Defect rates]]&gt;Calculations!$B$7),
   "Underperforming",
   IF(Table3[[#This Row],[Total Lead Time]]&gt;Calculations!$B$6,
      "Slow",
      IF(Table3[[#This Row],[Defect rates]]&gt;Calculations!$B$7,
         "Quality Issue",
         "Good")))</f>
        <v>Slow</v>
      </c>
    </row>
    <row r="32" spans="1:32" x14ac:dyDescent="0.3">
      <c r="A32" s="2" t="s">
        <v>156</v>
      </c>
      <c r="B32" s="5" t="s">
        <v>49</v>
      </c>
      <c r="C32" s="15">
        <v>4.8054960363458932</v>
      </c>
      <c r="D32" s="6">
        <v>26</v>
      </c>
      <c r="E32" s="22">
        <v>871</v>
      </c>
      <c r="F32" s="29">
        <v>2686.5051515674468</v>
      </c>
      <c r="G32" s="5" t="s">
        <v>26</v>
      </c>
      <c r="H32" s="6">
        <v>5</v>
      </c>
      <c r="I32" s="6">
        <v>3</v>
      </c>
      <c r="J32" s="6">
        <v>56</v>
      </c>
      <c r="K32" s="6">
        <v>8</v>
      </c>
      <c r="L32" s="5" t="s">
        <v>36</v>
      </c>
      <c r="M32" s="29">
        <v>3.8905479158706715</v>
      </c>
      <c r="N32" s="5" t="s">
        <v>39</v>
      </c>
      <c r="O32" s="5" t="s">
        <v>50</v>
      </c>
      <c r="P32" s="6">
        <v>5</v>
      </c>
      <c r="Q32" s="6">
        <v>414</v>
      </c>
      <c r="R32" s="6">
        <v>3</v>
      </c>
      <c r="S32" s="29">
        <v>92.065160598712851</v>
      </c>
      <c r="T32" s="5" t="s">
        <v>46</v>
      </c>
      <c r="U32" s="36">
        <v>3.1455795228330016E-2</v>
      </c>
      <c r="V32" s="5" t="s">
        <v>40</v>
      </c>
      <c r="W32" s="5" t="s">
        <v>48</v>
      </c>
      <c r="X32" s="41">
        <v>923.44063171192215</v>
      </c>
      <c r="Y32" s="16">
        <f t="shared" si="0"/>
        <v>1763.0645198555246</v>
      </c>
      <c r="Z32" s="47">
        <f>(Table3[[#This Row],[Revenue generated]]-Table3[[#This Row],[Costs]])/Table3[[#This Row],[Revenue generated]]</f>
        <v>0.6562669417651632</v>
      </c>
      <c r="AA32" s="46" t="str">
        <f>IF(Table3[[#This Row],[Stock levels]]&lt;Table3[[#This Row],[Order quantities]]*0.2,"Critical",IF(Table3[[#This Row],[Stock levels]]&lt;Table3[[#This Row],[Order quantities]]*0.5,"low","Adquate"))</f>
        <v>Critical</v>
      </c>
      <c r="AB32" s="46" t="str">
        <f>IF( F32 &gt;=Calculations!$B$3,"High",
   IF(F32 &gt;=Calculations!$B$2,"Medium",
   "Low"))</f>
        <v>Low</v>
      </c>
      <c r="AC32" s="46" t="str">
        <f>_xlfn.IFS(Table3[[#This Row],[Defect rates]] &lt; 0.02,"Excellent",Table3[[#This Row],[Defect rates]] &lt; 0.05,"Acceptable",Table3[[#This Row],[Defect rates]] &lt; 0.1,"Concerning",Table3[[#This Row],[Defect rates]] &gt; 0.1,"Critical")</f>
        <v>Acceptable</v>
      </c>
      <c r="AD32" s="48">
        <f xml:space="preserve"> Table3[[#This Row],[order Lead times]]+Table3[[#This Row],[Manufacturing lead time]]</f>
        <v>6</v>
      </c>
      <c r="AE32" s="49">
        <f>Table3[[#This Row],[Shipping costs]]/Table3[[#This Row],[Number of products sold]]</f>
        <v>4.4667599493348701E-3</v>
      </c>
      <c r="AF32" s="48" t="str">
        <f>IF(AND(Table3[[#This Row],[Total Lead Time]]&gt;Calculations!$B$6,
        Table3[[#This Row],[Defect rates]]&gt;Calculations!$B$7),
   "Underperforming",
   IF(Table3[[#This Row],[Total Lead Time]]&gt;Calculations!$B$6,
      "Slow",
      IF(Table3[[#This Row],[Defect rates]]&gt;Calculations!$B$7,
         "Quality Issue",
         "Good")))</f>
        <v>Good</v>
      </c>
    </row>
    <row r="33" spans="1:32" x14ac:dyDescent="0.3">
      <c r="A33" s="2" t="s">
        <v>156</v>
      </c>
      <c r="B33" s="3" t="s">
        <v>131</v>
      </c>
      <c r="C33" s="16">
        <v>57.449742958971477</v>
      </c>
      <c r="D33" s="4">
        <v>14</v>
      </c>
      <c r="E33" s="23">
        <v>359</v>
      </c>
      <c r="F33" s="28">
        <v>2483.7601775427947</v>
      </c>
      <c r="G33" s="3" t="s">
        <v>38</v>
      </c>
      <c r="H33" s="4">
        <v>96</v>
      </c>
      <c r="I33" s="4">
        <v>28</v>
      </c>
      <c r="J33" s="4">
        <v>57</v>
      </c>
      <c r="K33" s="4">
        <v>4</v>
      </c>
      <c r="L33" s="3" t="s">
        <v>27</v>
      </c>
      <c r="M33" s="28">
        <v>6.7809466256178954</v>
      </c>
      <c r="N33" s="3" t="s">
        <v>39</v>
      </c>
      <c r="O33" s="3" t="s">
        <v>45</v>
      </c>
      <c r="P33" s="4">
        <v>26</v>
      </c>
      <c r="Q33" s="4">
        <v>334</v>
      </c>
      <c r="R33" s="4">
        <v>5</v>
      </c>
      <c r="S33" s="28">
        <v>42.952444748991837</v>
      </c>
      <c r="T33" s="3" t="s">
        <v>64</v>
      </c>
      <c r="U33" s="35">
        <v>3.0551418183075479E-2</v>
      </c>
      <c r="V33" s="3" t="s">
        <v>31</v>
      </c>
      <c r="W33" s="3" t="s">
        <v>32</v>
      </c>
      <c r="X33" s="40">
        <v>852.56809891984994</v>
      </c>
      <c r="Y33" s="16">
        <f t="shared" si="0"/>
        <v>1631.1920786229448</v>
      </c>
      <c r="Z33" s="47">
        <f>(Table3[[#This Row],[Revenue generated]]-Table3[[#This Row],[Costs]])/Table3[[#This Row],[Revenue generated]]</f>
        <v>0.65674298725438829</v>
      </c>
      <c r="AA33" s="46" t="str">
        <f>IF(Table3[[#This Row],[Stock levels]]&lt;Table3[[#This Row],[Order quantities]]*0.2,"Critical",IF(Table3[[#This Row],[Stock levels]]&lt;Table3[[#This Row],[Order quantities]]*0.5,"low","Adquate"))</f>
        <v>Adquate</v>
      </c>
      <c r="AB33" s="46" t="str">
        <f>IF( F33 &gt;=Calculations!$B$3,"High",
   IF(F33 &gt;=Calculations!$B$2,"Medium",
   "Low"))</f>
        <v>Low</v>
      </c>
      <c r="AC33" s="46" t="str">
        <f>_xlfn.IFS(Table3[[#This Row],[Defect rates]] &lt; 0.02,"Excellent",Table3[[#This Row],[Defect rates]] &lt; 0.05,"Acceptable",Table3[[#This Row],[Defect rates]] &lt; 0.1,"Concerning",Table3[[#This Row],[Defect rates]] &gt; 0.1,"Critical")</f>
        <v>Acceptable</v>
      </c>
      <c r="AD33" s="48">
        <f xml:space="preserve"> Table3[[#This Row],[order Lead times]]+Table3[[#This Row],[Manufacturing lead time]]</f>
        <v>33</v>
      </c>
      <c r="AE33" s="49">
        <f>Table3[[#This Row],[Shipping costs]]/Table3[[#This Row],[Number of products sold]]</f>
        <v>1.8888430712027563E-2</v>
      </c>
      <c r="AF33" s="48" t="str">
        <f>IF(AND(Table3[[#This Row],[Total Lead Time]]&gt;Calculations!$B$6,
        Table3[[#This Row],[Defect rates]]&gt;Calculations!$B$7),
   "Underperforming",
   IF(Table3[[#This Row],[Total Lead Time]]&gt;Calculations!$B$6,
      "Slow",
      IF(Table3[[#This Row],[Defect rates]]&gt;Calculations!$B$7,
         "Quality Issue",
         "Good")))</f>
        <v>Good</v>
      </c>
    </row>
    <row r="34" spans="1:32" x14ac:dyDescent="0.3">
      <c r="A34" s="2" t="s">
        <v>155</v>
      </c>
      <c r="B34" s="3" t="s">
        <v>85</v>
      </c>
      <c r="C34" s="16">
        <v>50.847393051718697</v>
      </c>
      <c r="D34" s="4">
        <v>28</v>
      </c>
      <c r="E34" s="23">
        <v>168</v>
      </c>
      <c r="F34" s="28">
        <v>9655.1351027193978</v>
      </c>
      <c r="G34" s="3" t="s">
        <v>55</v>
      </c>
      <c r="H34" s="4">
        <v>6</v>
      </c>
      <c r="I34" s="4">
        <v>17</v>
      </c>
      <c r="J34" s="4">
        <v>44</v>
      </c>
      <c r="K34" s="4">
        <v>4</v>
      </c>
      <c r="L34" s="3" t="s">
        <v>27</v>
      </c>
      <c r="M34" s="28">
        <v>2.6796609649814065</v>
      </c>
      <c r="N34" s="3" t="s">
        <v>28</v>
      </c>
      <c r="O34" s="3" t="s">
        <v>62</v>
      </c>
      <c r="P34" s="4">
        <v>24</v>
      </c>
      <c r="Q34" s="4">
        <v>461</v>
      </c>
      <c r="R34" s="4">
        <v>8</v>
      </c>
      <c r="S34" s="28">
        <v>60.25114566159808</v>
      </c>
      <c r="T34" s="3" t="s">
        <v>30</v>
      </c>
      <c r="U34" s="35">
        <v>2.9890000066550747E-2</v>
      </c>
      <c r="V34" s="3" t="s">
        <v>47</v>
      </c>
      <c r="W34" s="3" t="s">
        <v>41</v>
      </c>
      <c r="X34" s="40">
        <v>609.37920661842668</v>
      </c>
      <c r="Y34" s="16">
        <f t="shared" ref="Y34:Y65" si="1" xml:space="preserve"> F34 -X34</f>
        <v>9045.7558961009709</v>
      </c>
      <c r="Z34" s="47">
        <f>(Table3[[#This Row],[Revenue generated]]-Table3[[#This Row],[Costs]])/Table3[[#This Row],[Revenue generated]]</f>
        <v>0.9368854811315076</v>
      </c>
      <c r="AA34" s="46" t="str">
        <f>IF(Table3[[#This Row],[Stock levels]]&lt;Table3[[#This Row],[Order quantities]]*0.2,"Critical",IF(Table3[[#This Row],[Stock levels]]&lt;Table3[[#This Row],[Order quantities]]*0.5,"low","Adquate"))</f>
        <v>Critical</v>
      </c>
      <c r="AB34" s="46" t="str">
        <f>IF( F34 &gt;=Calculations!$B$3,"High",
   IF(F34 &gt;=Calculations!$B$2,"Medium",
   "Low"))</f>
        <v>High</v>
      </c>
      <c r="AC34" s="46" t="str">
        <f>_xlfn.IFS(Table3[[#This Row],[Defect rates]] &lt; 0.02,"Excellent",Table3[[#This Row],[Defect rates]] &lt; 0.05,"Acceptable",Table3[[#This Row],[Defect rates]] &lt; 0.1,"Concerning",Table3[[#This Row],[Defect rates]] &gt; 0.1,"Critical")</f>
        <v>Acceptable</v>
      </c>
      <c r="AD34" s="48">
        <f xml:space="preserve"> Table3[[#This Row],[order Lead times]]+Table3[[#This Row],[Manufacturing lead time]]</f>
        <v>25</v>
      </c>
      <c r="AE34" s="49">
        <f>Table3[[#This Row],[Shipping costs]]/Table3[[#This Row],[Number of products sold]]</f>
        <v>1.5950362886794085E-2</v>
      </c>
      <c r="AF34" s="48" t="str">
        <f>IF(AND(Table3[[#This Row],[Total Lead Time]]&gt;Calculations!$B$6,
        Table3[[#This Row],[Defect rates]]&gt;Calculations!$B$7),
   "Underperforming",
   IF(Table3[[#This Row],[Total Lead Time]]&gt;Calculations!$B$6,
      "Slow",
      IF(Table3[[#This Row],[Defect rates]]&gt;Calculations!$B$7,
         "Quality Issue",
         "Good")))</f>
        <v>Good</v>
      </c>
    </row>
    <row r="35" spans="1:32" x14ac:dyDescent="0.3">
      <c r="A35" s="2" t="s">
        <v>156</v>
      </c>
      <c r="B35" s="5" t="s">
        <v>98</v>
      </c>
      <c r="C35" s="15">
        <v>51.35579091311039</v>
      </c>
      <c r="D35" s="6">
        <v>34</v>
      </c>
      <c r="E35" s="22">
        <v>919</v>
      </c>
      <c r="F35" s="29">
        <v>7152.2860494355145</v>
      </c>
      <c r="G35" s="5" t="s">
        <v>35</v>
      </c>
      <c r="H35" s="6">
        <v>13</v>
      </c>
      <c r="I35" s="6">
        <v>19</v>
      </c>
      <c r="J35" s="6">
        <v>72</v>
      </c>
      <c r="K35" s="6">
        <v>6</v>
      </c>
      <c r="L35" s="5" t="s">
        <v>43</v>
      </c>
      <c r="M35" s="29">
        <v>7.5774496573766932</v>
      </c>
      <c r="N35" s="5" t="s">
        <v>61</v>
      </c>
      <c r="O35" s="5" t="s">
        <v>50</v>
      </c>
      <c r="P35" s="6">
        <v>7</v>
      </c>
      <c r="Q35" s="6">
        <v>834</v>
      </c>
      <c r="R35" s="6">
        <v>18</v>
      </c>
      <c r="S35" s="29">
        <v>22.554106620887744</v>
      </c>
      <c r="T35" s="5" t="s">
        <v>46</v>
      </c>
      <c r="U35" s="36">
        <v>2.9626263204548819E-2</v>
      </c>
      <c r="V35" s="5" t="s">
        <v>47</v>
      </c>
      <c r="W35" s="5" t="s">
        <v>48</v>
      </c>
      <c r="X35" s="41">
        <v>610.45326961922774</v>
      </c>
      <c r="Y35" s="16">
        <f t="shared" si="1"/>
        <v>6541.8327798162863</v>
      </c>
      <c r="Z35" s="47">
        <f>(Table3[[#This Row],[Revenue generated]]-Table3[[#This Row],[Costs]])/Table3[[#This Row],[Revenue generated]]</f>
        <v>0.91464920930177174</v>
      </c>
      <c r="AA35" s="46" t="str">
        <f>IF(Table3[[#This Row],[Stock levels]]&lt;Table3[[#This Row],[Order quantities]]*0.2,"Critical",IF(Table3[[#This Row],[Stock levels]]&lt;Table3[[#This Row],[Order quantities]]*0.5,"low","Adquate"))</f>
        <v>Critical</v>
      </c>
      <c r="AB35" s="46" t="str">
        <f>IF( F35 &gt;=Calculations!$B$3,"High",
   IF(F35 &gt;=Calculations!$B$2,"Medium",
   "Low"))</f>
        <v>Medium</v>
      </c>
      <c r="AC35" s="46" t="str">
        <f>_xlfn.IFS(Table3[[#This Row],[Defect rates]] &lt; 0.02,"Excellent",Table3[[#This Row],[Defect rates]] &lt; 0.05,"Acceptable",Table3[[#This Row],[Defect rates]] &lt; 0.1,"Concerning",Table3[[#This Row],[Defect rates]] &gt; 0.1,"Critical")</f>
        <v>Acceptable</v>
      </c>
      <c r="AD35" s="48">
        <f xml:space="preserve"> Table3[[#This Row],[order Lead times]]+Table3[[#This Row],[Manufacturing lead time]]</f>
        <v>37</v>
      </c>
      <c r="AE35" s="49">
        <f>Table3[[#This Row],[Shipping costs]]/Table3[[#This Row],[Number of products sold]]</f>
        <v>8.2453206282662606E-3</v>
      </c>
      <c r="AF35" s="48" t="str">
        <f>IF(AND(Table3[[#This Row],[Total Lead Time]]&gt;Calculations!$B$6,
        Table3[[#This Row],[Defect rates]]&gt;Calculations!$B$7),
   "Underperforming",
   IF(Table3[[#This Row],[Total Lead Time]]&gt;Calculations!$B$6,
      "Slow",
      IF(Table3[[#This Row],[Defect rates]]&gt;Calculations!$B$7,
         "Quality Issue",
         "Good")))</f>
        <v>Good</v>
      </c>
    </row>
    <row r="36" spans="1:32" x14ac:dyDescent="0.3">
      <c r="A36" s="2" t="s">
        <v>156</v>
      </c>
      <c r="B36" s="5" t="s">
        <v>152</v>
      </c>
      <c r="C36" s="15">
        <v>19.754604866878601</v>
      </c>
      <c r="D36" s="6">
        <v>43</v>
      </c>
      <c r="E36" s="22">
        <v>913</v>
      </c>
      <c r="F36" s="29">
        <v>8525.9525596835265</v>
      </c>
      <c r="G36" s="5" t="s">
        <v>35</v>
      </c>
      <c r="H36" s="6">
        <v>53</v>
      </c>
      <c r="I36" s="6">
        <v>1</v>
      </c>
      <c r="J36" s="6">
        <v>27</v>
      </c>
      <c r="K36" s="6">
        <v>7</v>
      </c>
      <c r="L36" s="5" t="s">
        <v>27</v>
      </c>
      <c r="M36" s="29">
        <v>1.4098010951380731</v>
      </c>
      <c r="N36" s="5" t="s">
        <v>44</v>
      </c>
      <c r="O36" s="5" t="s">
        <v>62</v>
      </c>
      <c r="P36" s="6">
        <v>28</v>
      </c>
      <c r="Q36" s="6">
        <v>581</v>
      </c>
      <c r="R36" s="6">
        <v>9</v>
      </c>
      <c r="S36" s="29">
        <v>5.604690864371781</v>
      </c>
      <c r="T36" s="5" t="s">
        <v>30</v>
      </c>
      <c r="U36" s="36">
        <v>2.9081221693512613E-2</v>
      </c>
      <c r="V36" s="5" t="s">
        <v>47</v>
      </c>
      <c r="W36" s="5" t="s">
        <v>48</v>
      </c>
      <c r="X36" s="41">
        <v>882.19886354704147</v>
      </c>
      <c r="Y36" s="16">
        <f t="shared" si="1"/>
        <v>7643.7536961364849</v>
      </c>
      <c r="Z36" s="47">
        <f>(Table3[[#This Row],[Revenue generated]]-Table3[[#This Row],[Costs]])/Table3[[#This Row],[Revenue generated]]</f>
        <v>0.89652782403239317</v>
      </c>
      <c r="AA36" s="46" t="str">
        <f>IF(Table3[[#This Row],[Stock levels]]&lt;Table3[[#This Row],[Order quantities]]*0.2,"Critical",IF(Table3[[#This Row],[Stock levels]]&lt;Table3[[#This Row],[Order quantities]]*0.5,"low","Adquate"))</f>
        <v>Adquate</v>
      </c>
      <c r="AB36" s="46" t="str">
        <f>IF( F36 &gt;=Calculations!$B$3,"High",
   IF(F36 &gt;=Calculations!$B$2,"Medium",
   "Low"))</f>
        <v>High</v>
      </c>
      <c r="AC36" s="46" t="str">
        <f>_xlfn.IFS(Table3[[#This Row],[Defect rates]] &lt; 0.02,"Excellent",Table3[[#This Row],[Defect rates]] &lt; 0.05,"Acceptable",Table3[[#This Row],[Defect rates]] &lt; 0.1,"Concerning",Table3[[#This Row],[Defect rates]] &gt; 0.1,"Critical")</f>
        <v>Acceptable</v>
      </c>
      <c r="AD36" s="48">
        <f xml:space="preserve"> Table3[[#This Row],[order Lead times]]+Table3[[#This Row],[Manufacturing lead time]]</f>
        <v>10</v>
      </c>
      <c r="AE36" s="49">
        <f>Table3[[#This Row],[Shipping costs]]/Table3[[#This Row],[Number of products sold]]</f>
        <v>1.5441413966463013E-3</v>
      </c>
      <c r="AF36" s="48" t="str">
        <f>IF(AND(Table3[[#This Row],[Total Lead Time]]&gt;Calculations!$B$6,
        Table3[[#This Row],[Defect rates]]&gt;Calculations!$B$7),
   "Underperforming",
   IF(Table3[[#This Row],[Total Lead Time]]&gt;Calculations!$B$6,
      "Slow",
      IF(Table3[[#This Row],[Defect rates]]&gt;Calculations!$B$7,
         "Quality Issue",
         "Good")))</f>
        <v>Good</v>
      </c>
    </row>
    <row r="37" spans="1:32" x14ac:dyDescent="0.3">
      <c r="A37" s="2" t="s">
        <v>157</v>
      </c>
      <c r="B37" s="3" t="s">
        <v>81</v>
      </c>
      <c r="C37" s="16">
        <v>92.557360812402024</v>
      </c>
      <c r="D37" s="4">
        <v>42</v>
      </c>
      <c r="E37" s="23">
        <v>352</v>
      </c>
      <c r="F37" s="28">
        <v>2686.4572235759833</v>
      </c>
      <c r="G37" s="3" t="s">
        <v>38</v>
      </c>
      <c r="H37" s="4">
        <v>47</v>
      </c>
      <c r="I37" s="4">
        <v>9</v>
      </c>
      <c r="J37" s="4">
        <v>62</v>
      </c>
      <c r="K37" s="4">
        <v>8</v>
      </c>
      <c r="L37" s="3" t="s">
        <v>43</v>
      </c>
      <c r="M37" s="28">
        <v>7.406750952998074</v>
      </c>
      <c r="N37" s="3" t="s">
        <v>44</v>
      </c>
      <c r="O37" s="3" t="s">
        <v>29</v>
      </c>
      <c r="P37" s="4">
        <v>25</v>
      </c>
      <c r="Q37" s="4">
        <v>291</v>
      </c>
      <c r="R37" s="4">
        <v>4</v>
      </c>
      <c r="S37" s="28">
        <v>10.528245070042162</v>
      </c>
      <c r="T37" s="3" t="s">
        <v>46</v>
      </c>
      <c r="U37" s="35">
        <v>2.8646678378833734E-2</v>
      </c>
      <c r="V37" s="3" t="s">
        <v>56</v>
      </c>
      <c r="W37" s="3" t="s">
        <v>32</v>
      </c>
      <c r="X37" s="40">
        <v>762.45918215568372</v>
      </c>
      <c r="Y37" s="16">
        <f t="shared" si="1"/>
        <v>1923.9980414202996</v>
      </c>
      <c r="Z37" s="47">
        <f>(Table3[[#This Row],[Revenue generated]]-Table3[[#This Row],[Costs]])/Table3[[#This Row],[Revenue generated]]</f>
        <v>0.71618413445617313</v>
      </c>
      <c r="AA37" s="46" t="str">
        <f>IF(Table3[[#This Row],[Stock levels]]&lt;Table3[[#This Row],[Order quantities]]*0.2,"Critical",IF(Table3[[#This Row],[Stock levels]]&lt;Table3[[#This Row],[Order quantities]]*0.5,"low","Adquate"))</f>
        <v>Adquate</v>
      </c>
      <c r="AB37" s="46" t="str">
        <f>IF( F37 &gt;=Calculations!$B$3,"High",
   IF(F37 &gt;=Calculations!$B$2,"Medium",
   "Low"))</f>
        <v>Low</v>
      </c>
      <c r="AC37" s="46" t="str">
        <f>_xlfn.IFS(Table3[[#This Row],[Defect rates]] &lt; 0.02,"Excellent",Table3[[#This Row],[Defect rates]] &lt; 0.05,"Acceptable",Table3[[#This Row],[Defect rates]] &lt; 0.1,"Concerning",Table3[[#This Row],[Defect rates]] &gt; 0.1,"Critical")</f>
        <v>Acceptable</v>
      </c>
      <c r="AD37" s="48">
        <f xml:space="preserve"> Table3[[#This Row],[order Lead times]]+Table3[[#This Row],[Manufacturing lead time]]</f>
        <v>13</v>
      </c>
      <c r="AE37" s="49">
        <f>Table3[[#This Row],[Shipping costs]]/Table3[[#This Row],[Number of products sold]]</f>
        <v>2.10419061164718E-2</v>
      </c>
      <c r="AF37" s="48" t="str">
        <f>IF(AND(Table3[[#This Row],[Total Lead Time]]&gt;Calculations!$B$6,
        Table3[[#This Row],[Defect rates]]&gt;Calculations!$B$7),
   "Underperforming",
   IF(Table3[[#This Row],[Total Lead Time]]&gt;Calculations!$B$6,
      "Slow",
      IF(Table3[[#This Row],[Defect rates]]&gt;Calculations!$B$7,
         "Quality Issue",
         "Good")))</f>
        <v>Good</v>
      </c>
    </row>
    <row r="38" spans="1:32" x14ac:dyDescent="0.3">
      <c r="A38" s="2" t="s">
        <v>156</v>
      </c>
      <c r="B38" s="5" t="s">
        <v>114</v>
      </c>
      <c r="C38" s="15">
        <v>17.028027920188702</v>
      </c>
      <c r="D38" s="6">
        <v>16</v>
      </c>
      <c r="E38" s="22">
        <v>380</v>
      </c>
      <c r="F38" s="29">
        <v>8864.0843495864356</v>
      </c>
      <c r="G38" s="5" t="s">
        <v>35</v>
      </c>
      <c r="H38" s="6">
        <v>41</v>
      </c>
      <c r="I38" s="6">
        <v>27</v>
      </c>
      <c r="J38" s="6">
        <v>72</v>
      </c>
      <c r="K38" s="6">
        <v>8</v>
      </c>
      <c r="L38" s="5" t="s">
        <v>43</v>
      </c>
      <c r="M38" s="29">
        <v>4.3813681581023145</v>
      </c>
      <c r="N38" s="5" t="s">
        <v>52</v>
      </c>
      <c r="O38" s="5" t="s">
        <v>29</v>
      </c>
      <c r="P38" s="6">
        <v>29</v>
      </c>
      <c r="Q38" s="6">
        <v>929</v>
      </c>
      <c r="R38" s="6">
        <v>24</v>
      </c>
      <c r="S38" s="29">
        <v>87.213057815135684</v>
      </c>
      <c r="T38" s="5" t="s">
        <v>46</v>
      </c>
      <c r="U38" s="36">
        <v>2.8530906166490538E-2</v>
      </c>
      <c r="V38" s="5" t="s">
        <v>47</v>
      </c>
      <c r="W38" s="5" t="s">
        <v>48</v>
      </c>
      <c r="X38" s="41">
        <v>430.16909697513654</v>
      </c>
      <c r="Y38" s="16">
        <f t="shared" si="1"/>
        <v>8433.9152526112994</v>
      </c>
      <c r="Z38" s="47">
        <f>(Table3[[#This Row],[Revenue generated]]-Table3[[#This Row],[Costs]])/Table3[[#This Row],[Revenue generated]]</f>
        <v>0.95147055465517927</v>
      </c>
      <c r="AA38" s="46" t="str">
        <f>IF(Table3[[#This Row],[Stock levels]]&lt;Table3[[#This Row],[Order quantities]]*0.2,"Critical",IF(Table3[[#This Row],[Stock levels]]&lt;Table3[[#This Row],[Order quantities]]*0.5,"low","Adquate"))</f>
        <v>Adquate</v>
      </c>
      <c r="AB38" s="46" t="str">
        <f>IF( F38 &gt;=Calculations!$B$3,"High",
   IF(F38 &gt;=Calculations!$B$2,"Medium",
   "Low"))</f>
        <v>High</v>
      </c>
      <c r="AC38" s="46" t="str">
        <f>_xlfn.IFS(Table3[[#This Row],[Defect rates]] &lt; 0.02,"Excellent",Table3[[#This Row],[Defect rates]] &lt; 0.05,"Acceptable",Table3[[#This Row],[Defect rates]] &lt; 0.1,"Concerning",Table3[[#This Row],[Defect rates]] &gt; 0.1,"Critical")</f>
        <v>Acceptable</v>
      </c>
      <c r="AD38" s="48">
        <f xml:space="preserve"> Table3[[#This Row],[order Lead times]]+Table3[[#This Row],[Manufacturing lead time]]</f>
        <v>51</v>
      </c>
      <c r="AE38" s="49">
        <f>Table3[[#This Row],[Shipping costs]]/Table3[[#This Row],[Number of products sold]]</f>
        <v>1.1529916205532406E-2</v>
      </c>
      <c r="AF38" s="48" t="str">
        <f>IF(AND(Table3[[#This Row],[Total Lead Time]]&gt;Calculations!$B$6,
        Table3[[#This Row],[Defect rates]]&gt;Calculations!$B$7),
   "Underperforming",
   IF(Table3[[#This Row],[Total Lead Time]]&gt;Calculations!$B$6,
      "Slow",
      IF(Table3[[#This Row],[Defect rates]]&gt;Calculations!$B$7,
         "Quality Issue",
         "Good")))</f>
        <v>Slow</v>
      </c>
    </row>
    <row r="39" spans="1:32" x14ac:dyDescent="0.3">
      <c r="A39" s="2" t="s">
        <v>156</v>
      </c>
      <c r="B39" s="5" t="s">
        <v>134</v>
      </c>
      <c r="C39" s="15">
        <v>91.128318350444331</v>
      </c>
      <c r="D39" s="6">
        <v>75</v>
      </c>
      <c r="E39" s="22">
        <v>872</v>
      </c>
      <c r="F39" s="29">
        <v>8651.6726829820655</v>
      </c>
      <c r="G39" s="5" t="s">
        <v>38</v>
      </c>
      <c r="H39" s="6">
        <v>39</v>
      </c>
      <c r="I39" s="6">
        <v>14</v>
      </c>
      <c r="J39" s="6">
        <v>41</v>
      </c>
      <c r="K39" s="6">
        <v>2</v>
      </c>
      <c r="L39" s="5" t="s">
        <v>43</v>
      </c>
      <c r="M39" s="29">
        <v>2.8331846794189746</v>
      </c>
      <c r="N39" s="5" t="s">
        <v>28</v>
      </c>
      <c r="O39" s="5" t="s">
        <v>62</v>
      </c>
      <c r="P39" s="6">
        <v>8</v>
      </c>
      <c r="Q39" s="6">
        <v>202</v>
      </c>
      <c r="R39" s="6">
        <v>5</v>
      </c>
      <c r="S39" s="29">
        <v>76.961228023820013</v>
      </c>
      <c r="T39" s="5" t="s">
        <v>46</v>
      </c>
      <c r="U39" s="36">
        <v>2.8496621985053306E-2</v>
      </c>
      <c r="V39" s="5" t="s">
        <v>56</v>
      </c>
      <c r="W39" s="5" t="s">
        <v>32</v>
      </c>
      <c r="X39" s="41">
        <v>787.77985049434449</v>
      </c>
      <c r="Y39" s="16">
        <f t="shared" si="1"/>
        <v>7863.8928324877206</v>
      </c>
      <c r="Z39" s="47">
        <f>(Table3[[#This Row],[Revenue generated]]-Table3[[#This Row],[Costs]])/Table3[[#This Row],[Revenue generated]]</f>
        <v>0.90894479260132943</v>
      </c>
      <c r="AA39" s="46" t="str">
        <f>IF(Table3[[#This Row],[Stock levels]]&lt;Table3[[#This Row],[Order quantities]]*0.2,"Critical",IF(Table3[[#This Row],[Stock levels]]&lt;Table3[[#This Row],[Order quantities]]*0.5,"low","Adquate"))</f>
        <v>Adquate</v>
      </c>
      <c r="AB39" s="46" t="str">
        <f>IF( F39 &gt;=Calculations!$B$3,"High",
   IF(F39 &gt;=Calculations!$B$2,"Medium",
   "Low"))</f>
        <v>High</v>
      </c>
      <c r="AC39" s="46" t="str">
        <f>_xlfn.IFS(Table3[[#This Row],[Defect rates]] &lt; 0.02,"Excellent",Table3[[#This Row],[Defect rates]] &lt; 0.05,"Acceptable",Table3[[#This Row],[Defect rates]] &lt; 0.1,"Concerning",Table3[[#This Row],[Defect rates]] &gt; 0.1,"Critical")</f>
        <v>Acceptable</v>
      </c>
      <c r="AD39" s="48">
        <f xml:space="preserve"> Table3[[#This Row],[order Lead times]]+Table3[[#This Row],[Manufacturing lead time]]</f>
        <v>19</v>
      </c>
      <c r="AE39" s="49">
        <f>Table3[[#This Row],[Shipping costs]]/Table3[[#This Row],[Number of products sold]]</f>
        <v>3.2490649993336864E-3</v>
      </c>
      <c r="AF39" s="48" t="str">
        <f>IF(AND(Table3[[#This Row],[Total Lead Time]]&gt;Calculations!$B$6,
        Table3[[#This Row],[Defect rates]]&gt;Calculations!$B$7),
   "Underperforming",
   IF(Table3[[#This Row],[Total Lead Time]]&gt;Calculations!$B$6,
      "Slow",
      IF(Table3[[#This Row],[Defect rates]]&gt;Calculations!$B$7,
         "Quality Issue",
         "Good")))</f>
        <v>Good</v>
      </c>
    </row>
    <row r="40" spans="1:32" x14ac:dyDescent="0.3">
      <c r="A40" s="2" t="s">
        <v>157</v>
      </c>
      <c r="B40" s="3" t="s">
        <v>103</v>
      </c>
      <c r="C40" s="16">
        <v>78.897913205640037</v>
      </c>
      <c r="D40" s="4">
        <v>19</v>
      </c>
      <c r="E40" s="23">
        <v>99</v>
      </c>
      <c r="F40" s="28">
        <v>8001.6132065190022</v>
      </c>
      <c r="G40" s="3" t="s">
        <v>38</v>
      </c>
      <c r="H40" s="4">
        <v>97</v>
      </c>
      <c r="I40" s="4">
        <v>24</v>
      </c>
      <c r="J40" s="4">
        <v>9</v>
      </c>
      <c r="K40" s="4">
        <v>6</v>
      </c>
      <c r="L40" s="3" t="s">
        <v>43</v>
      </c>
      <c r="M40" s="28">
        <v>2.5056210329009154</v>
      </c>
      <c r="N40" s="3" t="s">
        <v>44</v>
      </c>
      <c r="O40" s="3" t="s">
        <v>50</v>
      </c>
      <c r="P40" s="4">
        <v>28</v>
      </c>
      <c r="Q40" s="4">
        <v>177</v>
      </c>
      <c r="R40" s="4">
        <v>28</v>
      </c>
      <c r="S40" s="28">
        <v>14.147815443979217</v>
      </c>
      <c r="T40" s="3" t="s">
        <v>64</v>
      </c>
      <c r="U40" s="35">
        <v>2.8258139854001319E-2</v>
      </c>
      <c r="V40" s="3" t="s">
        <v>47</v>
      </c>
      <c r="W40" s="3" t="s">
        <v>48</v>
      </c>
      <c r="X40" s="40">
        <v>336.89016851997792</v>
      </c>
      <c r="Y40" s="16">
        <f t="shared" si="1"/>
        <v>7664.7230379990242</v>
      </c>
      <c r="Z40" s="47">
        <f>(Table3[[#This Row],[Revenue generated]]-Table3[[#This Row],[Costs]])/Table3[[#This Row],[Revenue generated]]</f>
        <v>0.95789721899510094</v>
      </c>
      <c r="AA40" s="46" t="str">
        <f>IF(Table3[[#This Row],[Stock levels]]&lt;Table3[[#This Row],[Order quantities]]*0.2,"Critical",IF(Table3[[#This Row],[Stock levels]]&lt;Table3[[#This Row],[Order quantities]]*0.5,"low","Adquate"))</f>
        <v>Adquate</v>
      </c>
      <c r="AB40" s="46" t="str">
        <f>IF( F40 &gt;=Calculations!$B$3,"High",
   IF(F40 &gt;=Calculations!$B$2,"Medium",
   "Low"))</f>
        <v>High</v>
      </c>
      <c r="AC40" s="46" t="str">
        <f>_xlfn.IFS(Table3[[#This Row],[Defect rates]] &lt; 0.02,"Excellent",Table3[[#This Row],[Defect rates]] &lt; 0.05,"Acceptable",Table3[[#This Row],[Defect rates]] &lt; 0.1,"Concerning",Table3[[#This Row],[Defect rates]] &gt; 0.1,"Critical")</f>
        <v>Acceptable</v>
      </c>
      <c r="AD40" s="48">
        <f xml:space="preserve"> Table3[[#This Row],[order Lead times]]+Table3[[#This Row],[Manufacturing lead time]]</f>
        <v>52</v>
      </c>
      <c r="AE40" s="49">
        <f>Table3[[#This Row],[Shipping costs]]/Table3[[#This Row],[Number of products sold]]</f>
        <v>2.530930336263551E-2</v>
      </c>
      <c r="AF40" s="48" t="str">
        <f>IF(AND(Table3[[#This Row],[Total Lead Time]]&gt;Calculations!$B$6,
        Table3[[#This Row],[Defect rates]]&gt;Calculations!$B$7),
   "Underperforming",
   IF(Table3[[#This Row],[Total Lead Time]]&gt;Calculations!$B$6,
      "Slow",
      IF(Table3[[#This Row],[Defect rates]]&gt;Calculations!$B$7,
         "Quality Issue",
         "Good")))</f>
        <v>Slow</v>
      </c>
    </row>
    <row r="41" spans="1:32" x14ac:dyDescent="0.3">
      <c r="A41" s="2" t="s">
        <v>155</v>
      </c>
      <c r="B41" s="3" t="s">
        <v>51</v>
      </c>
      <c r="C41" s="16">
        <v>1.6999760138659377</v>
      </c>
      <c r="D41" s="4">
        <v>87</v>
      </c>
      <c r="E41" s="23">
        <v>147</v>
      </c>
      <c r="F41" s="28">
        <v>2828.3487459757589</v>
      </c>
      <c r="G41" s="3" t="s">
        <v>26</v>
      </c>
      <c r="H41" s="4">
        <v>90</v>
      </c>
      <c r="I41" s="4">
        <v>27</v>
      </c>
      <c r="J41" s="4">
        <v>66</v>
      </c>
      <c r="K41" s="4">
        <v>3</v>
      </c>
      <c r="L41" s="3" t="s">
        <v>27</v>
      </c>
      <c r="M41" s="28">
        <v>4.4440988643822932</v>
      </c>
      <c r="N41" s="3" t="s">
        <v>52</v>
      </c>
      <c r="O41" s="3" t="s">
        <v>53</v>
      </c>
      <c r="P41" s="4">
        <v>10</v>
      </c>
      <c r="Q41" s="4">
        <v>104</v>
      </c>
      <c r="R41" s="4">
        <v>17</v>
      </c>
      <c r="S41" s="28">
        <v>56.766475557431797</v>
      </c>
      <c r="T41" s="3" t="s">
        <v>46</v>
      </c>
      <c r="U41" s="35">
        <v>2.7791935115711618E-2</v>
      </c>
      <c r="V41" s="3" t="s">
        <v>31</v>
      </c>
      <c r="W41" s="3" t="s">
        <v>48</v>
      </c>
      <c r="X41" s="40">
        <v>235.46123673553751</v>
      </c>
      <c r="Y41" s="16">
        <f t="shared" si="1"/>
        <v>2592.8875092402213</v>
      </c>
      <c r="Z41" s="47">
        <f>(Table3[[#This Row],[Revenue generated]]-Table3[[#This Row],[Costs]])/Table3[[#This Row],[Revenue generated]]</f>
        <v>0.91674957443965943</v>
      </c>
      <c r="AA41" s="46" t="str">
        <f>IF(Table3[[#This Row],[Stock levels]]&lt;Table3[[#This Row],[Order quantities]]*0.2,"Critical",IF(Table3[[#This Row],[Stock levels]]&lt;Table3[[#This Row],[Order quantities]]*0.5,"low","Adquate"))</f>
        <v>Adquate</v>
      </c>
      <c r="AB41" s="46" t="str">
        <f>IF( F41 &gt;=Calculations!$B$3,"High",
   IF(F41 &gt;=Calculations!$B$2,"Medium",
   "Low"))</f>
        <v>Low</v>
      </c>
      <c r="AC41" s="46" t="str">
        <f>_xlfn.IFS(Table3[[#This Row],[Defect rates]] &lt; 0.02,"Excellent",Table3[[#This Row],[Defect rates]] &lt; 0.05,"Acceptable",Table3[[#This Row],[Defect rates]] &lt; 0.1,"Concerning",Table3[[#This Row],[Defect rates]] &gt; 0.1,"Critical")</f>
        <v>Acceptable</v>
      </c>
      <c r="AD41" s="48">
        <f xml:space="preserve"> Table3[[#This Row],[order Lead times]]+Table3[[#This Row],[Manufacturing lead time]]</f>
        <v>44</v>
      </c>
      <c r="AE41" s="49">
        <f>Table3[[#This Row],[Shipping costs]]/Table3[[#This Row],[Number of products sold]]</f>
        <v>3.0231965063825125E-2</v>
      </c>
      <c r="AF41" s="48" t="str">
        <f>IF(AND(Table3[[#This Row],[Total Lead Time]]&gt;Calculations!$B$6,
        Table3[[#This Row],[Defect rates]]&gt;Calculations!$B$7),
   "Underperforming",
   IF(Table3[[#This Row],[Total Lead Time]]&gt;Calculations!$B$6,
      "Slow",
      IF(Table3[[#This Row],[Defect rates]]&gt;Calculations!$B$7,
         "Quality Issue",
         "Good")))</f>
        <v>Slow</v>
      </c>
    </row>
    <row r="42" spans="1:32" x14ac:dyDescent="0.3">
      <c r="A42" s="2" t="s">
        <v>155</v>
      </c>
      <c r="B42" s="5" t="s">
        <v>59</v>
      </c>
      <c r="C42" s="15">
        <v>68.717596748527328</v>
      </c>
      <c r="D42" s="6">
        <v>78</v>
      </c>
      <c r="E42" s="22">
        <v>150</v>
      </c>
      <c r="F42" s="29">
        <v>7517.363210631127</v>
      </c>
      <c r="G42" s="5" t="s">
        <v>35</v>
      </c>
      <c r="H42" s="6">
        <v>5</v>
      </c>
      <c r="I42" s="6">
        <v>10</v>
      </c>
      <c r="J42" s="6">
        <v>15</v>
      </c>
      <c r="K42" s="6">
        <v>7</v>
      </c>
      <c r="L42" s="5" t="s">
        <v>43</v>
      </c>
      <c r="M42" s="29">
        <v>3.4047338570830266</v>
      </c>
      <c r="N42" s="5" t="s">
        <v>52</v>
      </c>
      <c r="O42" s="5" t="s">
        <v>29</v>
      </c>
      <c r="P42" s="6">
        <v>13</v>
      </c>
      <c r="Q42" s="6">
        <v>769</v>
      </c>
      <c r="R42" s="6">
        <v>8</v>
      </c>
      <c r="S42" s="29">
        <v>11.423027139565695</v>
      </c>
      <c r="T42" s="5" t="s">
        <v>30</v>
      </c>
      <c r="U42" s="36">
        <v>2.7098626911099613E-2</v>
      </c>
      <c r="V42" s="5" t="s">
        <v>56</v>
      </c>
      <c r="W42" s="5" t="s">
        <v>32</v>
      </c>
      <c r="X42" s="41">
        <v>505.55713422546415</v>
      </c>
      <c r="Y42" s="16">
        <f t="shared" si="1"/>
        <v>7011.8060764056627</v>
      </c>
      <c r="Z42" s="47">
        <f>(Table3[[#This Row],[Revenue generated]]-Table3[[#This Row],[Costs]])/Table3[[#This Row],[Revenue generated]]</f>
        <v>0.93274807667793669</v>
      </c>
      <c r="AA42" s="46" t="str">
        <f>IF(Table3[[#This Row],[Stock levels]]&lt;Table3[[#This Row],[Order quantities]]*0.2,"Critical",IF(Table3[[#This Row],[Stock levels]]&lt;Table3[[#This Row],[Order quantities]]*0.5,"low","Adquate"))</f>
        <v>low</v>
      </c>
      <c r="AB42" s="46" t="str">
        <f>IF( F42 &gt;=Calculations!$B$3,"High",
   IF(F42 &gt;=Calculations!$B$2,"Medium",
   "Low"))</f>
        <v>Medium</v>
      </c>
      <c r="AC42" s="46" t="str">
        <f>_xlfn.IFS(Table3[[#This Row],[Defect rates]] &lt; 0.02,"Excellent",Table3[[#This Row],[Defect rates]] &lt; 0.05,"Acceptable",Table3[[#This Row],[Defect rates]] &lt; 0.1,"Concerning",Table3[[#This Row],[Defect rates]] &gt; 0.1,"Critical")</f>
        <v>Acceptable</v>
      </c>
      <c r="AD42" s="48">
        <f xml:space="preserve"> Table3[[#This Row],[order Lead times]]+Table3[[#This Row],[Manufacturing lead time]]</f>
        <v>18</v>
      </c>
      <c r="AE42" s="49">
        <f>Table3[[#This Row],[Shipping costs]]/Table3[[#This Row],[Number of products sold]]</f>
        <v>2.2698225713886844E-2</v>
      </c>
      <c r="AF42" s="48" t="str">
        <f>IF(AND(Table3[[#This Row],[Total Lead Time]]&gt;Calculations!$B$6,
        Table3[[#This Row],[Defect rates]]&gt;Calculations!$B$7),
   "Underperforming",
   IF(Table3[[#This Row],[Total Lead Time]]&gt;Calculations!$B$6,
      "Slow",
      IF(Table3[[#This Row],[Defect rates]]&gt;Calculations!$B$7,
         "Quality Issue",
         "Good")))</f>
        <v>Good</v>
      </c>
    </row>
    <row r="43" spans="1:32" x14ac:dyDescent="0.3">
      <c r="A43" s="2" t="s">
        <v>157</v>
      </c>
      <c r="B43" s="3" t="s">
        <v>91</v>
      </c>
      <c r="C43" s="16">
        <v>23.399844752614349</v>
      </c>
      <c r="D43" s="4">
        <v>5</v>
      </c>
      <c r="E43" s="23">
        <v>963</v>
      </c>
      <c r="F43" s="28">
        <v>2438.3399304700288</v>
      </c>
      <c r="G43" s="3" t="s">
        <v>35</v>
      </c>
      <c r="H43" s="4">
        <v>25</v>
      </c>
      <c r="I43" s="4">
        <v>8</v>
      </c>
      <c r="J43" s="4">
        <v>21</v>
      </c>
      <c r="K43" s="4">
        <v>9</v>
      </c>
      <c r="L43" s="3" t="s">
        <v>36</v>
      </c>
      <c r="M43" s="28">
        <v>1.5326552735904306</v>
      </c>
      <c r="N43" s="3" t="s">
        <v>28</v>
      </c>
      <c r="O43" s="3" t="s">
        <v>45</v>
      </c>
      <c r="P43" s="4">
        <v>24</v>
      </c>
      <c r="Q43" s="4">
        <v>867</v>
      </c>
      <c r="R43" s="4">
        <v>15</v>
      </c>
      <c r="S43" s="28">
        <v>34.343277465075381</v>
      </c>
      <c r="T43" s="3" t="s">
        <v>30</v>
      </c>
      <c r="U43" s="35">
        <v>2.6102880848481131E-2</v>
      </c>
      <c r="V43" s="3" t="s">
        <v>56</v>
      </c>
      <c r="W43" s="3" t="s">
        <v>48</v>
      </c>
      <c r="X43" s="40">
        <v>183.93296804359437</v>
      </c>
      <c r="Y43" s="16">
        <f t="shared" si="1"/>
        <v>2254.4069624264343</v>
      </c>
      <c r="Z43" s="47">
        <f>(Table3[[#This Row],[Revenue generated]]-Table3[[#This Row],[Costs]])/Table3[[#This Row],[Revenue generated]]</f>
        <v>0.92456631425949765</v>
      </c>
      <c r="AA43" s="46" t="str">
        <f>IF(Table3[[#This Row],[Stock levels]]&lt;Table3[[#This Row],[Order quantities]]*0.2,"Critical",IF(Table3[[#This Row],[Stock levels]]&lt;Table3[[#This Row],[Order quantities]]*0.5,"low","Adquate"))</f>
        <v>Adquate</v>
      </c>
      <c r="AB43" s="46" t="str">
        <f>IF( F43 &gt;=Calculations!$B$3,"High",
   IF(F43 &gt;=Calculations!$B$2,"Medium",
   "Low"))</f>
        <v>Low</v>
      </c>
      <c r="AC43" s="46" t="str">
        <f>_xlfn.IFS(Table3[[#This Row],[Defect rates]] &lt; 0.02,"Excellent",Table3[[#This Row],[Defect rates]] &lt; 0.05,"Acceptable",Table3[[#This Row],[Defect rates]] &lt; 0.1,"Concerning",Table3[[#This Row],[Defect rates]] &gt; 0.1,"Critical")</f>
        <v>Acceptable</v>
      </c>
      <c r="AD43" s="48">
        <f xml:space="preserve"> Table3[[#This Row],[order Lead times]]+Table3[[#This Row],[Manufacturing lead time]]</f>
        <v>23</v>
      </c>
      <c r="AE43" s="49">
        <f>Table3[[#This Row],[Shipping costs]]/Table3[[#This Row],[Number of products sold]]</f>
        <v>1.5915423401769789E-3</v>
      </c>
      <c r="AF43" s="48" t="str">
        <f>IF(AND(Table3[[#This Row],[Total Lead Time]]&gt;Calculations!$B$6,
        Table3[[#This Row],[Defect rates]]&gt;Calculations!$B$7),
   "Underperforming",
   IF(Table3[[#This Row],[Total Lead Time]]&gt;Calculations!$B$6,
      "Slow",
      IF(Table3[[#This Row],[Defect rates]]&gt;Calculations!$B$7,
         "Quality Issue",
         "Good")))</f>
        <v>Good</v>
      </c>
    </row>
    <row r="44" spans="1:32" x14ac:dyDescent="0.3">
      <c r="A44" s="2" t="s">
        <v>157</v>
      </c>
      <c r="B44" s="5" t="s">
        <v>76</v>
      </c>
      <c r="C44" s="15">
        <v>27.679780886501959</v>
      </c>
      <c r="D44" s="6">
        <v>55</v>
      </c>
      <c r="E44" s="22">
        <v>884</v>
      </c>
      <c r="F44" s="29">
        <v>2390.8078665561734</v>
      </c>
      <c r="G44" s="5" t="s">
        <v>38</v>
      </c>
      <c r="H44" s="6">
        <v>71</v>
      </c>
      <c r="I44" s="6">
        <v>1</v>
      </c>
      <c r="J44" s="6">
        <v>63</v>
      </c>
      <c r="K44" s="6">
        <v>10</v>
      </c>
      <c r="L44" s="5" t="s">
        <v>36</v>
      </c>
      <c r="M44" s="29">
        <v>9.5676489209230393</v>
      </c>
      <c r="N44" s="5" t="s">
        <v>52</v>
      </c>
      <c r="O44" s="5" t="s">
        <v>45</v>
      </c>
      <c r="P44" s="6">
        <v>22</v>
      </c>
      <c r="Q44" s="6">
        <v>780</v>
      </c>
      <c r="R44" s="6">
        <v>28</v>
      </c>
      <c r="S44" s="29">
        <v>50.120839612977349</v>
      </c>
      <c r="T44" s="5" t="s">
        <v>46</v>
      </c>
      <c r="U44" s="36">
        <v>2.591275473211116E-2</v>
      </c>
      <c r="V44" s="5" t="s">
        <v>47</v>
      </c>
      <c r="W44" s="5" t="s">
        <v>41</v>
      </c>
      <c r="X44" s="41">
        <v>205.57199582694707</v>
      </c>
      <c r="Y44" s="16">
        <f t="shared" si="1"/>
        <v>2185.2358707292265</v>
      </c>
      <c r="Z44" s="47">
        <f>(Table3[[#This Row],[Revenue generated]]-Table3[[#This Row],[Costs]])/Table3[[#This Row],[Revenue generated]]</f>
        <v>0.91401567700081976</v>
      </c>
      <c r="AA44" s="46" t="str">
        <f>IF(Table3[[#This Row],[Stock levels]]&lt;Table3[[#This Row],[Order quantities]]*0.2,"Critical",IF(Table3[[#This Row],[Stock levels]]&lt;Table3[[#This Row],[Order quantities]]*0.5,"low","Adquate"))</f>
        <v>Adquate</v>
      </c>
      <c r="AB44" s="46" t="str">
        <f>IF( F44 &gt;=Calculations!$B$3,"High",
   IF(F44 &gt;=Calculations!$B$2,"Medium",
   "Low"))</f>
        <v>Low</v>
      </c>
      <c r="AC44" s="46" t="str">
        <f>_xlfn.IFS(Table3[[#This Row],[Defect rates]] &lt; 0.02,"Excellent",Table3[[#This Row],[Defect rates]] &lt; 0.05,"Acceptable",Table3[[#This Row],[Defect rates]] &lt; 0.1,"Concerning",Table3[[#This Row],[Defect rates]] &gt; 0.1,"Critical")</f>
        <v>Acceptable</v>
      </c>
      <c r="AD44" s="48">
        <f xml:space="preserve"> Table3[[#This Row],[order Lead times]]+Table3[[#This Row],[Manufacturing lead time]]</f>
        <v>29</v>
      </c>
      <c r="AE44" s="49">
        <f>Table3[[#This Row],[Shipping costs]]/Table3[[#This Row],[Number of products sold]]</f>
        <v>1.0823132263487601E-2</v>
      </c>
      <c r="AF44" s="48" t="str">
        <f>IF(AND(Table3[[#This Row],[Total Lead Time]]&gt;Calculations!$B$6,
        Table3[[#This Row],[Defect rates]]&gt;Calculations!$B$7),
   "Underperforming",
   IF(Table3[[#This Row],[Total Lead Time]]&gt;Calculations!$B$6,
      "Slow",
      IF(Table3[[#This Row],[Defect rates]]&gt;Calculations!$B$7,
         "Quality Issue",
         "Good")))</f>
        <v>Good</v>
      </c>
    </row>
    <row r="45" spans="1:32" x14ac:dyDescent="0.3">
      <c r="A45" s="2" t="s">
        <v>155</v>
      </c>
      <c r="B45" s="3" t="s">
        <v>135</v>
      </c>
      <c r="C45" s="16">
        <v>72.819206930318217</v>
      </c>
      <c r="D45" s="4">
        <v>9</v>
      </c>
      <c r="E45" s="23">
        <v>774</v>
      </c>
      <c r="F45" s="28">
        <v>4384.4134000458625</v>
      </c>
      <c r="G45" s="3" t="s">
        <v>38</v>
      </c>
      <c r="H45" s="4">
        <v>48</v>
      </c>
      <c r="I45" s="4">
        <v>6</v>
      </c>
      <c r="J45" s="4">
        <v>8</v>
      </c>
      <c r="K45" s="4">
        <v>5</v>
      </c>
      <c r="L45" s="3" t="s">
        <v>27</v>
      </c>
      <c r="M45" s="28">
        <v>4.0662775015120438</v>
      </c>
      <c r="N45" s="3" t="s">
        <v>28</v>
      </c>
      <c r="O45" s="3" t="s">
        <v>50</v>
      </c>
      <c r="P45" s="4">
        <v>28</v>
      </c>
      <c r="Q45" s="4">
        <v>698</v>
      </c>
      <c r="R45" s="4">
        <v>1</v>
      </c>
      <c r="S45" s="28">
        <v>19.789592941903603</v>
      </c>
      <c r="T45" s="3" t="s">
        <v>30</v>
      </c>
      <c r="U45" s="35">
        <v>2.5475471215487117E-2</v>
      </c>
      <c r="V45" s="3" t="s">
        <v>47</v>
      </c>
      <c r="W45" s="3" t="s">
        <v>32</v>
      </c>
      <c r="X45" s="40">
        <v>276.77833594679885</v>
      </c>
      <c r="Y45" s="16">
        <f t="shared" si="1"/>
        <v>4107.635064099064</v>
      </c>
      <c r="Z45" s="47">
        <f>(Table3[[#This Row],[Revenue generated]]-Table3[[#This Row],[Costs]])/Table3[[#This Row],[Revenue generated]]</f>
        <v>0.93687220827673245</v>
      </c>
      <c r="AA45" s="46" t="str">
        <f>IF(Table3[[#This Row],[Stock levels]]&lt;Table3[[#This Row],[Order quantities]]*0.2,"Critical",IF(Table3[[#This Row],[Stock levels]]&lt;Table3[[#This Row],[Order quantities]]*0.5,"low","Adquate"))</f>
        <v>Adquate</v>
      </c>
      <c r="AB45" s="46" t="str">
        <f>IF( F45 &gt;=Calculations!$B$3,"High",
   IF(F45 &gt;=Calculations!$B$2,"Medium",
   "Low"))</f>
        <v>Medium</v>
      </c>
      <c r="AC45" s="46" t="str">
        <f>_xlfn.IFS(Table3[[#This Row],[Defect rates]] &lt; 0.02,"Excellent",Table3[[#This Row],[Defect rates]] &lt; 0.05,"Acceptable",Table3[[#This Row],[Defect rates]] &lt; 0.1,"Concerning",Table3[[#This Row],[Defect rates]] &gt; 0.1,"Critical")</f>
        <v>Acceptable</v>
      </c>
      <c r="AD45" s="48">
        <f xml:space="preserve"> Table3[[#This Row],[order Lead times]]+Table3[[#This Row],[Manufacturing lead time]]</f>
        <v>7</v>
      </c>
      <c r="AE45" s="49">
        <f>Table3[[#This Row],[Shipping costs]]/Table3[[#This Row],[Number of products sold]]</f>
        <v>5.2535885032455347E-3</v>
      </c>
      <c r="AF45" s="48" t="str">
        <f>IF(AND(Table3[[#This Row],[Total Lead Time]]&gt;Calculations!$B$6,
        Table3[[#This Row],[Defect rates]]&gt;Calculations!$B$7),
   "Underperforming",
   IF(Table3[[#This Row],[Total Lead Time]]&gt;Calculations!$B$6,
      "Slow",
      IF(Table3[[#This Row],[Defect rates]]&gt;Calculations!$B$7,
         "Quality Issue",
         "Good")))</f>
        <v>Good</v>
      </c>
    </row>
    <row r="46" spans="1:32" x14ac:dyDescent="0.3">
      <c r="A46" s="2" t="s">
        <v>155</v>
      </c>
      <c r="B46" s="3" t="s">
        <v>111</v>
      </c>
      <c r="C46" s="16">
        <v>49.263205350734154</v>
      </c>
      <c r="D46" s="4">
        <v>65</v>
      </c>
      <c r="E46" s="23">
        <v>227</v>
      </c>
      <c r="F46" s="28">
        <v>1605.8669003924058</v>
      </c>
      <c r="G46" s="3" t="s">
        <v>38</v>
      </c>
      <c r="H46" s="4">
        <v>5</v>
      </c>
      <c r="I46" s="4">
        <v>18</v>
      </c>
      <c r="J46" s="4">
        <v>51</v>
      </c>
      <c r="K46" s="4">
        <v>1</v>
      </c>
      <c r="L46" s="3" t="s">
        <v>27</v>
      </c>
      <c r="M46" s="28">
        <v>9.1605585353818704</v>
      </c>
      <c r="N46" s="3" t="s">
        <v>61</v>
      </c>
      <c r="O46" s="3" t="s">
        <v>50</v>
      </c>
      <c r="P46" s="4">
        <v>21</v>
      </c>
      <c r="Q46" s="4">
        <v>588</v>
      </c>
      <c r="R46" s="4">
        <v>25</v>
      </c>
      <c r="S46" s="28">
        <v>67.779622987078142</v>
      </c>
      <c r="T46" s="3" t="s">
        <v>30</v>
      </c>
      <c r="U46" s="35">
        <v>2.511174830212707E-2</v>
      </c>
      <c r="V46" s="3" t="s">
        <v>47</v>
      </c>
      <c r="W46" s="3" t="s">
        <v>48</v>
      </c>
      <c r="X46" s="40">
        <v>482.19123860252813</v>
      </c>
      <c r="Y46" s="16">
        <f t="shared" si="1"/>
        <v>1123.6756617898777</v>
      </c>
      <c r="Z46" s="47">
        <f>(Table3[[#This Row],[Revenue generated]]-Table3[[#This Row],[Costs]])/Table3[[#This Row],[Revenue generated]]</f>
        <v>0.69973150422074148</v>
      </c>
      <c r="AA46" s="46" t="str">
        <f>IF(Table3[[#This Row],[Stock levels]]&lt;Table3[[#This Row],[Order quantities]]*0.2,"Critical",IF(Table3[[#This Row],[Stock levels]]&lt;Table3[[#This Row],[Order quantities]]*0.5,"low","Adquate"))</f>
        <v>Critical</v>
      </c>
      <c r="AB46" s="46" t="str">
        <f>IF( F46 &gt;=Calculations!$B$3,"High",
   IF(F46 &gt;=Calculations!$B$2,"Medium",
   "Low"))</f>
        <v>Low</v>
      </c>
      <c r="AC46" s="46" t="str">
        <f>_xlfn.IFS(Table3[[#This Row],[Defect rates]] &lt; 0.02,"Excellent",Table3[[#This Row],[Defect rates]] &lt; 0.05,"Acceptable",Table3[[#This Row],[Defect rates]] &lt; 0.1,"Concerning",Table3[[#This Row],[Defect rates]] &gt; 0.1,"Critical")</f>
        <v>Acceptable</v>
      </c>
      <c r="AD46" s="48">
        <f xml:space="preserve"> Table3[[#This Row],[order Lead times]]+Table3[[#This Row],[Manufacturing lead time]]</f>
        <v>43</v>
      </c>
      <c r="AE46" s="49">
        <f>Table3[[#This Row],[Shipping costs]]/Table3[[#This Row],[Number of products sold]]</f>
        <v>4.0354883415779162E-2</v>
      </c>
      <c r="AF46" s="48" t="str">
        <f>IF(AND(Table3[[#This Row],[Total Lead Time]]&gt;Calculations!$B$6,
        Table3[[#This Row],[Defect rates]]&gt;Calculations!$B$7),
   "Underperforming",
   IF(Table3[[#This Row],[Total Lead Time]]&gt;Calculations!$B$6,
      "Slow",
      IF(Table3[[#This Row],[Defect rates]]&gt;Calculations!$B$7,
         "Quality Issue",
         "Good")))</f>
        <v>Slow</v>
      </c>
    </row>
    <row r="47" spans="1:32" x14ac:dyDescent="0.3">
      <c r="A47" s="2" t="s">
        <v>156</v>
      </c>
      <c r="B47" s="5" t="s">
        <v>108</v>
      </c>
      <c r="C47" s="15">
        <v>31.146243160240854</v>
      </c>
      <c r="D47" s="6">
        <v>11</v>
      </c>
      <c r="E47" s="22">
        <v>622</v>
      </c>
      <c r="F47" s="29">
        <v>6088.0214799408586</v>
      </c>
      <c r="G47" s="5" t="s">
        <v>26</v>
      </c>
      <c r="H47" s="6">
        <v>33</v>
      </c>
      <c r="I47" s="6">
        <v>22</v>
      </c>
      <c r="J47" s="6">
        <v>61</v>
      </c>
      <c r="K47" s="6">
        <v>3</v>
      </c>
      <c r="L47" s="5" t="s">
        <v>27</v>
      </c>
      <c r="M47" s="29">
        <v>4.3051034712876355</v>
      </c>
      <c r="N47" s="5" t="s">
        <v>39</v>
      </c>
      <c r="O47" s="5" t="s">
        <v>45</v>
      </c>
      <c r="P47" s="6">
        <v>26</v>
      </c>
      <c r="Q47" s="6">
        <v>497</v>
      </c>
      <c r="R47" s="6">
        <v>29</v>
      </c>
      <c r="S47" s="29">
        <v>30.186023375822508</v>
      </c>
      <c r="T47" s="5" t="s">
        <v>64</v>
      </c>
      <c r="U47" s="36">
        <v>2.4787719755397477E-2</v>
      </c>
      <c r="V47" s="5" t="s">
        <v>31</v>
      </c>
      <c r="W47" s="5" t="s">
        <v>32</v>
      </c>
      <c r="X47" s="41">
        <v>814.06999658218751</v>
      </c>
      <c r="Y47" s="16">
        <f t="shared" si="1"/>
        <v>5273.9514833586709</v>
      </c>
      <c r="Z47" s="47">
        <f>(Table3[[#This Row],[Revenue generated]]-Table3[[#This Row],[Costs]])/Table3[[#This Row],[Revenue generated]]</f>
        <v>0.86628332385744211</v>
      </c>
      <c r="AA47" s="46" t="str">
        <f>IF(Table3[[#This Row],[Stock levels]]&lt;Table3[[#This Row],[Order quantities]]*0.2,"Critical",IF(Table3[[#This Row],[Stock levels]]&lt;Table3[[#This Row],[Order quantities]]*0.5,"low","Adquate"))</f>
        <v>Adquate</v>
      </c>
      <c r="AB47" s="46" t="str">
        <f>IF( F47 &gt;=Calculations!$B$3,"High",
   IF(F47 &gt;=Calculations!$B$2,"Medium",
   "Low"))</f>
        <v>Medium</v>
      </c>
      <c r="AC47" s="46" t="str">
        <f>_xlfn.IFS(Table3[[#This Row],[Defect rates]] &lt; 0.02,"Excellent",Table3[[#This Row],[Defect rates]] &lt; 0.05,"Acceptable",Table3[[#This Row],[Defect rates]] &lt; 0.1,"Concerning",Table3[[#This Row],[Defect rates]] &gt; 0.1,"Critical")</f>
        <v>Acceptable</v>
      </c>
      <c r="AD47" s="48">
        <f xml:space="preserve"> Table3[[#This Row],[order Lead times]]+Table3[[#This Row],[Manufacturing lead time]]</f>
        <v>51</v>
      </c>
      <c r="AE47" s="49">
        <f>Table3[[#This Row],[Shipping costs]]/Table3[[#This Row],[Number of products sold]]</f>
        <v>6.9213882175042374E-3</v>
      </c>
      <c r="AF47" s="48" t="str">
        <f>IF(AND(Table3[[#This Row],[Total Lead Time]]&gt;Calculations!$B$6,
        Table3[[#This Row],[Defect rates]]&gt;Calculations!$B$7),
   "Underperforming",
   IF(Table3[[#This Row],[Total Lead Time]]&gt;Calculations!$B$6,
      "Slow",
      IF(Table3[[#This Row],[Defect rates]]&gt;Calculations!$B$7,
         "Quality Issue",
         "Good")))</f>
        <v>Slow</v>
      </c>
    </row>
    <row r="48" spans="1:32" x14ac:dyDescent="0.3">
      <c r="A48" s="2" t="s">
        <v>155</v>
      </c>
      <c r="B48" s="3" t="s">
        <v>69</v>
      </c>
      <c r="C48" s="16">
        <v>36.98924492862691</v>
      </c>
      <c r="D48" s="4">
        <v>94</v>
      </c>
      <c r="E48" s="23">
        <v>469</v>
      </c>
      <c r="F48" s="28">
        <v>5442.0867853976733</v>
      </c>
      <c r="G48" s="3" t="s">
        <v>26</v>
      </c>
      <c r="H48" s="4">
        <v>9</v>
      </c>
      <c r="I48" s="4">
        <v>8</v>
      </c>
      <c r="J48" s="4">
        <v>69</v>
      </c>
      <c r="K48" s="4">
        <v>7</v>
      </c>
      <c r="L48" s="3" t="s">
        <v>27</v>
      </c>
      <c r="M48" s="28">
        <v>2.4220397232752044</v>
      </c>
      <c r="N48" s="3" t="s">
        <v>39</v>
      </c>
      <c r="O48" s="3" t="s">
        <v>53</v>
      </c>
      <c r="P48" s="4">
        <v>14</v>
      </c>
      <c r="Q48" s="4">
        <v>580</v>
      </c>
      <c r="R48" s="4">
        <v>7</v>
      </c>
      <c r="S48" s="28">
        <v>97.121281751474314</v>
      </c>
      <c r="T48" s="3" t="s">
        <v>64</v>
      </c>
      <c r="U48" s="35">
        <v>2.2644057611985492E-2</v>
      </c>
      <c r="V48" s="3" t="s">
        <v>56</v>
      </c>
      <c r="W48" s="3" t="s">
        <v>32</v>
      </c>
      <c r="X48" s="40">
        <v>127.86180000162541</v>
      </c>
      <c r="Y48" s="16">
        <f t="shared" si="1"/>
        <v>5314.2249853960475</v>
      </c>
      <c r="Z48" s="47">
        <f>(Table3[[#This Row],[Revenue generated]]-Table3[[#This Row],[Costs]])/Table3[[#This Row],[Revenue generated]]</f>
        <v>0.97650500533275075</v>
      </c>
      <c r="AA48" s="46" t="str">
        <f>IF(Table3[[#This Row],[Stock levels]]&lt;Table3[[#This Row],[Order quantities]]*0.2,"Critical",IF(Table3[[#This Row],[Stock levels]]&lt;Table3[[#This Row],[Order quantities]]*0.5,"low","Adquate"))</f>
        <v>Critical</v>
      </c>
      <c r="AB48" s="46" t="str">
        <f>IF( F48 &gt;=Calculations!$B$3,"High",
   IF(F48 &gt;=Calculations!$B$2,"Medium",
   "Low"))</f>
        <v>Medium</v>
      </c>
      <c r="AC48" s="46" t="str">
        <f>_xlfn.IFS(Table3[[#This Row],[Defect rates]] &lt; 0.02,"Excellent",Table3[[#This Row],[Defect rates]] &lt; 0.05,"Acceptable",Table3[[#This Row],[Defect rates]] &lt; 0.1,"Concerning",Table3[[#This Row],[Defect rates]] &gt; 0.1,"Critical")</f>
        <v>Acceptable</v>
      </c>
      <c r="AD48" s="48">
        <f xml:space="preserve"> Table3[[#This Row],[order Lead times]]+Table3[[#This Row],[Manufacturing lead time]]</f>
        <v>15</v>
      </c>
      <c r="AE48" s="49">
        <f>Table3[[#This Row],[Shipping costs]]/Table3[[#This Row],[Number of products sold]]</f>
        <v>5.1642638022925472E-3</v>
      </c>
      <c r="AF48" s="48" t="str">
        <f>IF(AND(Table3[[#This Row],[Total Lead Time]]&gt;Calculations!$B$6,
        Table3[[#This Row],[Defect rates]]&gt;Calculations!$B$7),
   "Underperforming",
   IF(Table3[[#This Row],[Total Lead Time]]&gt;Calculations!$B$6,
      "Slow",
      IF(Table3[[#This Row],[Defect rates]]&gt;Calculations!$B$7,
         "Quality Issue",
         "Good")))</f>
        <v>Good</v>
      </c>
    </row>
    <row r="49" spans="1:32" x14ac:dyDescent="0.3">
      <c r="A49" s="2" t="s">
        <v>155</v>
      </c>
      <c r="B49" s="5" t="s">
        <v>72</v>
      </c>
      <c r="C49" s="15">
        <v>36.443627770460935</v>
      </c>
      <c r="D49" s="6">
        <v>23</v>
      </c>
      <c r="E49" s="22">
        <v>620</v>
      </c>
      <c r="F49" s="29">
        <v>9364.6735050761727</v>
      </c>
      <c r="G49" s="5" t="s">
        <v>38</v>
      </c>
      <c r="H49" s="6">
        <v>10</v>
      </c>
      <c r="I49" s="6">
        <v>10</v>
      </c>
      <c r="J49" s="6">
        <v>46</v>
      </c>
      <c r="K49" s="6">
        <v>8</v>
      </c>
      <c r="L49" s="5" t="s">
        <v>43</v>
      </c>
      <c r="M49" s="29">
        <v>4.339224714110709</v>
      </c>
      <c r="N49" s="5" t="s">
        <v>61</v>
      </c>
      <c r="O49" s="5" t="s">
        <v>45</v>
      </c>
      <c r="P49" s="6">
        <v>18</v>
      </c>
      <c r="Q49" s="6">
        <v>374</v>
      </c>
      <c r="R49" s="6">
        <v>17</v>
      </c>
      <c r="S49" s="29">
        <v>27.10798085484392</v>
      </c>
      <c r="T49" s="5" t="s">
        <v>30</v>
      </c>
      <c r="U49" s="36">
        <v>2.2319391107292638E-2</v>
      </c>
      <c r="V49" s="5" t="s">
        <v>56</v>
      </c>
      <c r="W49" s="5" t="s">
        <v>48</v>
      </c>
      <c r="X49" s="41">
        <v>593.48025872065182</v>
      </c>
      <c r="Y49" s="16">
        <f t="shared" si="1"/>
        <v>8771.1932463555204</v>
      </c>
      <c r="Z49" s="47">
        <f>(Table3[[#This Row],[Revenue generated]]-Table3[[#This Row],[Costs]])/Table3[[#This Row],[Revenue generated]]</f>
        <v>0.93662563266098353</v>
      </c>
      <c r="AA49" s="46" t="str">
        <f>IF(Table3[[#This Row],[Stock levels]]&lt;Table3[[#This Row],[Order quantities]]*0.2,"Critical",IF(Table3[[#This Row],[Stock levels]]&lt;Table3[[#This Row],[Order quantities]]*0.5,"low","Adquate"))</f>
        <v>low</v>
      </c>
      <c r="AB49" s="46" t="str">
        <f>IF( F49 &gt;=Calculations!$B$3,"High",
   IF(F49 &gt;=Calculations!$B$2,"Medium",
   "Low"))</f>
        <v>High</v>
      </c>
      <c r="AC49" s="46" t="str">
        <f>_xlfn.IFS(Table3[[#This Row],[Defect rates]] &lt; 0.02,"Excellent",Table3[[#This Row],[Defect rates]] &lt; 0.05,"Acceptable",Table3[[#This Row],[Defect rates]] &lt; 0.1,"Concerning",Table3[[#This Row],[Defect rates]] &gt; 0.1,"Critical")</f>
        <v>Acceptable</v>
      </c>
      <c r="AD49" s="48">
        <f xml:space="preserve"> Table3[[#This Row],[order Lead times]]+Table3[[#This Row],[Manufacturing lead time]]</f>
        <v>27</v>
      </c>
      <c r="AE49" s="49">
        <f>Table3[[#This Row],[Shipping costs]]/Table3[[#This Row],[Number of products sold]]</f>
        <v>6.9987495388882399E-3</v>
      </c>
      <c r="AF49" s="48" t="str">
        <f>IF(AND(Table3[[#This Row],[Total Lead Time]]&gt;Calculations!$B$6,
        Table3[[#This Row],[Defect rates]]&gt;Calculations!$B$7),
   "Underperforming",
   IF(Table3[[#This Row],[Total Lead Time]]&gt;Calculations!$B$6,
      "Slow",
      IF(Table3[[#This Row],[Defect rates]]&gt;Calculations!$B$7,
         "Quality Issue",
         "Good")))</f>
        <v>Good</v>
      </c>
    </row>
    <row r="50" spans="1:32" x14ac:dyDescent="0.3">
      <c r="A50" s="2" t="s">
        <v>156</v>
      </c>
      <c r="B50" s="5" t="s">
        <v>130</v>
      </c>
      <c r="C50" s="15">
        <v>69.108799547430323</v>
      </c>
      <c r="D50" s="6">
        <v>23</v>
      </c>
      <c r="E50" s="22">
        <v>241</v>
      </c>
      <c r="F50" s="29">
        <v>5328.3759842977579</v>
      </c>
      <c r="G50" s="5" t="s">
        <v>55</v>
      </c>
      <c r="H50" s="6">
        <v>38</v>
      </c>
      <c r="I50" s="6">
        <v>1</v>
      </c>
      <c r="J50" s="6">
        <v>22</v>
      </c>
      <c r="K50" s="6">
        <v>10</v>
      </c>
      <c r="L50" s="5" t="s">
        <v>36</v>
      </c>
      <c r="M50" s="29">
        <v>7.0545383368369263</v>
      </c>
      <c r="N50" s="5" t="s">
        <v>61</v>
      </c>
      <c r="O50" s="5" t="s">
        <v>53</v>
      </c>
      <c r="P50" s="6">
        <v>25</v>
      </c>
      <c r="Q50" s="6">
        <v>985</v>
      </c>
      <c r="R50" s="6">
        <v>24</v>
      </c>
      <c r="S50" s="29">
        <v>64.323597795600222</v>
      </c>
      <c r="T50" s="5" t="s">
        <v>30</v>
      </c>
      <c r="U50" s="36">
        <v>2.1800374515822164E-2</v>
      </c>
      <c r="V50" s="5" t="s">
        <v>47</v>
      </c>
      <c r="W50" s="5" t="s">
        <v>48</v>
      </c>
      <c r="X50" s="41">
        <v>997.4134501331946</v>
      </c>
      <c r="Y50" s="16">
        <f t="shared" si="1"/>
        <v>4330.9625341645633</v>
      </c>
      <c r="Z50" s="47">
        <f>(Table3[[#This Row],[Revenue generated]]-Table3[[#This Row],[Costs]])/Table3[[#This Row],[Revenue generated]]</f>
        <v>0.81281098535980156</v>
      </c>
      <c r="AA50" s="46" t="str">
        <f>IF(Table3[[#This Row],[Stock levels]]&lt;Table3[[#This Row],[Order quantities]]*0.2,"Critical",IF(Table3[[#This Row],[Stock levels]]&lt;Table3[[#This Row],[Order quantities]]*0.5,"low","Adquate"))</f>
        <v>Adquate</v>
      </c>
      <c r="AB50" s="46" t="str">
        <f>IF( F50 &gt;=Calculations!$B$3,"High",
   IF(F50 &gt;=Calculations!$B$2,"Medium",
   "Low"))</f>
        <v>Medium</v>
      </c>
      <c r="AC50" s="46" t="str">
        <f>_xlfn.IFS(Table3[[#This Row],[Defect rates]] &lt; 0.02,"Excellent",Table3[[#This Row],[Defect rates]] &lt; 0.05,"Acceptable",Table3[[#This Row],[Defect rates]] &lt; 0.1,"Concerning",Table3[[#This Row],[Defect rates]] &gt; 0.1,"Critical")</f>
        <v>Acceptable</v>
      </c>
      <c r="AD50" s="48">
        <f xml:space="preserve"> Table3[[#This Row],[order Lead times]]+Table3[[#This Row],[Manufacturing lead time]]</f>
        <v>25</v>
      </c>
      <c r="AE50" s="49">
        <f>Table3[[#This Row],[Shipping costs]]/Table3[[#This Row],[Number of products sold]]</f>
        <v>2.9271943306377286E-2</v>
      </c>
      <c r="AF50" s="48" t="str">
        <f>IF(AND(Table3[[#This Row],[Total Lead Time]]&gt;Calculations!$B$6,
        Table3[[#This Row],[Defect rates]]&gt;Calculations!$B$7),
   "Underperforming",
   IF(Table3[[#This Row],[Total Lead Time]]&gt;Calculations!$B$6,
      "Slow",
      IF(Table3[[#This Row],[Defect rates]]&gt;Calculations!$B$7,
         "Quality Issue",
         "Good")))</f>
        <v>Good</v>
      </c>
    </row>
    <row r="51" spans="1:32" x14ac:dyDescent="0.3">
      <c r="A51" s="2" t="s">
        <v>155</v>
      </c>
      <c r="B51" s="5" t="s">
        <v>66</v>
      </c>
      <c r="C51" s="15">
        <v>71.213389075360084</v>
      </c>
      <c r="D51" s="6">
        <v>41</v>
      </c>
      <c r="E51" s="22">
        <v>336</v>
      </c>
      <c r="F51" s="29">
        <v>2873.7414460214413</v>
      </c>
      <c r="G51" s="5" t="s">
        <v>38</v>
      </c>
      <c r="H51" s="6">
        <v>100</v>
      </c>
      <c r="I51" s="6">
        <v>30</v>
      </c>
      <c r="J51" s="6">
        <v>85</v>
      </c>
      <c r="K51" s="6">
        <v>4</v>
      </c>
      <c r="L51" s="5" t="s">
        <v>36</v>
      </c>
      <c r="M51" s="29">
        <v>1.325274010184522</v>
      </c>
      <c r="N51" s="5" t="s">
        <v>52</v>
      </c>
      <c r="O51" s="5" t="s">
        <v>45</v>
      </c>
      <c r="P51" s="6">
        <v>3</v>
      </c>
      <c r="Q51" s="6">
        <v>563</v>
      </c>
      <c r="R51" s="6">
        <v>3</v>
      </c>
      <c r="S51" s="29">
        <v>32.321286213424031</v>
      </c>
      <c r="T51" s="5" t="s">
        <v>46</v>
      </c>
      <c r="U51" s="36">
        <v>2.1612537475559118E-2</v>
      </c>
      <c r="V51" s="5" t="s">
        <v>31</v>
      </c>
      <c r="W51" s="5" t="s">
        <v>32</v>
      </c>
      <c r="X51" s="41">
        <v>402.96878907377061</v>
      </c>
      <c r="Y51" s="16">
        <f t="shared" si="1"/>
        <v>2470.7726569476708</v>
      </c>
      <c r="Z51" s="47">
        <f>(Table3[[#This Row],[Revenue generated]]-Table3[[#This Row],[Costs]])/Table3[[#This Row],[Revenue generated]]</f>
        <v>0.85977555857307142</v>
      </c>
      <c r="AA51" s="46" t="str">
        <f>IF(Table3[[#This Row],[Stock levels]]&lt;Table3[[#This Row],[Order quantities]]*0.2,"Critical",IF(Table3[[#This Row],[Stock levels]]&lt;Table3[[#This Row],[Order quantities]]*0.5,"low","Adquate"))</f>
        <v>Adquate</v>
      </c>
      <c r="AB51" s="46" t="str">
        <f>IF( F51 &gt;=Calculations!$B$3,"High",
   IF(F51 &gt;=Calculations!$B$2,"Medium",
   "Low"))</f>
        <v>Low</v>
      </c>
      <c r="AC51" s="46" t="str">
        <f>_xlfn.IFS(Table3[[#This Row],[Defect rates]] &lt; 0.02,"Excellent",Table3[[#This Row],[Defect rates]] &lt; 0.05,"Acceptable",Table3[[#This Row],[Defect rates]] &lt; 0.1,"Concerning",Table3[[#This Row],[Defect rates]] &gt; 0.1,"Critical")</f>
        <v>Acceptable</v>
      </c>
      <c r="AD51" s="48">
        <f xml:space="preserve"> Table3[[#This Row],[order Lead times]]+Table3[[#This Row],[Manufacturing lead time]]</f>
        <v>33</v>
      </c>
      <c r="AE51" s="49">
        <f>Table3[[#This Row],[Shipping costs]]/Table3[[#This Row],[Number of products sold]]</f>
        <v>3.9442678874539346E-3</v>
      </c>
      <c r="AF51" s="48" t="str">
        <f>IF(AND(Table3[[#This Row],[Total Lead Time]]&gt;Calculations!$B$6,
        Table3[[#This Row],[Defect rates]]&gt;Calculations!$B$7),
   "Underperforming",
   IF(Table3[[#This Row],[Total Lead Time]]&gt;Calculations!$B$6,
      "Slow",
      IF(Table3[[#This Row],[Defect rates]]&gt;Calculations!$B$7,
         "Quality Issue",
         "Good")))</f>
        <v>Good</v>
      </c>
    </row>
    <row r="52" spans="1:32" x14ac:dyDescent="0.3">
      <c r="A52" s="2" t="s">
        <v>155</v>
      </c>
      <c r="B52" s="5" t="s">
        <v>106</v>
      </c>
      <c r="C52" s="15">
        <v>98.031829656465078</v>
      </c>
      <c r="D52" s="6">
        <v>1</v>
      </c>
      <c r="E52" s="22">
        <v>820</v>
      </c>
      <c r="F52" s="29">
        <v>9435.7626089121295</v>
      </c>
      <c r="G52" s="5" t="s">
        <v>55</v>
      </c>
      <c r="H52" s="6">
        <v>64</v>
      </c>
      <c r="I52" s="6">
        <v>11</v>
      </c>
      <c r="J52" s="6">
        <v>11</v>
      </c>
      <c r="K52" s="6">
        <v>1</v>
      </c>
      <c r="L52" s="5" t="s">
        <v>27</v>
      </c>
      <c r="M52" s="29">
        <v>8.6310521797689468</v>
      </c>
      <c r="N52" s="5" t="s">
        <v>39</v>
      </c>
      <c r="O52" s="5" t="s">
        <v>29</v>
      </c>
      <c r="P52" s="6">
        <v>10</v>
      </c>
      <c r="Q52" s="6">
        <v>727</v>
      </c>
      <c r="R52" s="6">
        <v>27</v>
      </c>
      <c r="S52" s="29">
        <v>9.1668491485971515</v>
      </c>
      <c r="T52" s="5" t="s">
        <v>30</v>
      </c>
      <c r="U52" s="36">
        <v>2.1224716191438245E-2</v>
      </c>
      <c r="V52" s="5" t="s">
        <v>40</v>
      </c>
      <c r="W52" s="5" t="s">
        <v>41</v>
      </c>
      <c r="X52" s="41">
        <v>602.89849883838338</v>
      </c>
      <c r="Y52" s="16">
        <f t="shared" si="1"/>
        <v>8832.8641100737459</v>
      </c>
      <c r="Z52" s="47">
        <f>(Table3[[#This Row],[Revenue generated]]-Table3[[#This Row],[Costs]])/Table3[[#This Row],[Revenue generated]]</f>
        <v>0.93610495263319338</v>
      </c>
      <c r="AA52" s="46" t="str">
        <f>IF(Table3[[#This Row],[Stock levels]]&lt;Table3[[#This Row],[Order quantities]]*0.2,"Critical",IF(Table3[[#This Row],[Stock levels]]&lt;Table3[[#This Row],[Order quantities]]*0.5,"low","Adquate"))</f>
        <v>Adquate</v>
      </c>
      <c r="AB52" s="46" t="str">
        <f>IF( F52 &gt;=Calculations!$B$3,"High",
   IF(F52 &gt;=Calculations!$B$2,"Medium",
   "Low"))</f>
        <v>High</v>
      </c>
      <c r="AC52" s="46" t="str">
        <f>_xlfn.IFS(Table3[[#This Row],[Defect rates]] &lt; 0.02,"Excellent",Table3[[#This Row],[Defect rates]] &lt; 0.05,"Acceptable",Table3[[#This Row],[Defect rates]] &lt; 0.1,"Concerning",Table3[[#This Row],[Defect rates]] &gt; 0.1,"Critical")</f>
        <v>Acceptable</v>
      </c>
      <c r="AD52" s="48">
        <f xml:space="preserve"> Table3[[#This Row],[order Lead times]]+Table3[[#This Row],[Manufacturing lead time]]</f>
        <v>38</v>
      </c>
      <c r="AE52" s="49">
        <f>Table3[[#This Row],[Shipping costs]]/Table3[[#This Row],[Number of products sold]]</f>
        <v>1.052567338996213E-2</v>
      </c>
      <c r="AF52" s="48" t="str">
        <f>IF(AND(Table3[[#This Row],[Total Lead Time]]&gt;Calculations!$B$6,
        Table3[[#This Row],[Defect rates]]&gt;Calculations!$B$7),
   "Underperforming",
   IF(Table3[[#This Row],[Total Lead Time]]&gt;Calculations!$B$6,
      "Slow",
      IF(Table3[[#This Row],[Defect rates]]&gt;Calculations!$B$7,
         "Quality Issue",
         "Good")))</f>
        <v>Good</v>
      </c>
    </row>
    <row r="53" spans="1:32" x14ac:dyDescent="0.3">
      <c r="A53" s="2" t="s">
        <v>157</v>
      </c>
      <c r="B53" s="5" t="s">
        <v>80</v>
      </c>
      <c r="C53" s="15">
        <v>97.44694661789282</v>
      </c>
      <c r="D53" s="6">
        <v>9</v>
      </c>
      <c r="E53" s="22">
        <v>353</v>
      </c>
      <c r="F53" s="29">
        <v>3716.4933258940368</v>
      </c>
      <c r="G53" s="5" t="s">
        <v>55</v>
      </c>
      <c r="H53" s="6">
        <v>59</v>
      </c>
      <c r="I53" s="6">
        <v>16</v>
      </c>
      <c r="J53" s="6">
        <v>48</v>
      </c>
      <c r="K53" s="6">
        <v>4</v>
      </c>
      <c r="L53" s="5" t="s">
        <v>27</v>
      </c>
      <c r="M53" s="29">
        <v>6.5075486210785511</v>
      </c>
      <c r="N53" s="5" t="s">
        <v>61</v>
      </c>
      <c r="O53" s="5" t="s">
        <v>53</v>
      </c>
      <c r="P53" s="6">
        <v>26</v>
      </c>
      <c r="Q53" s="6">
        <v>171</v>
      </c>
      <c r="R53" s="6">
        <v>4</v>
      </c>
      <c r="S53" s="29">
        <v>15.972229757181761</v>
      </c>
      <c r="T53" s="5" t="s">
        <v>64</v>
      </c>
      <c r="U53" s="36">
        <v>2.1193197367249228E-2</v>
      </c>
      <c r="V53" s="5" t="s">
        <v>47</v>
      </c>
      <c r="W53" s="5" t="s">
        <v>48</v>
      </c>
      <c r="X53" s="41">
        <v>617.8669164583772</v>
      </c>
      <c r="Y53" s="16">
        <f t="shared" si="1"/>
        <v>3098.6264094356598</v>
      </c>
      <c r="Z53" s="47">
        <f>(Table3[[#This Row],[Revenue generated]]-Table3[[#This Row],[Costs]])/Table3[[#This Row],[Revenue generated]]</f>
        <v>0.83375002663034692</v>
      </c>
      <c r="AA53" s="46" t="str">
        <f>IF(Table3[[#This Row],[Stock levels]]&lt;Table3[[#This Row],[Order quantities]]*0.2,"Critical",IF(Table3[[#This Row],[Stock levels]]&lt;Table3[[#This Row],[Order quantities]]*0.5,"low","Adquate"))</f>
        <v>Adquate</v>
      </c>
      <c r="AB53" s="46" t="str">
        <f>IF( F53 &gt;=Calculations!$B$3,"High",
   IF(F53 &gt;=Calculations!$B$2,"Medium",
   "Low"))</f>
        <v>Low</v>
      </c>
      <c r="AC53" s="46" t="str">
        <f>_xlfn.IFS(Table3[[#This Row],[Defect rates]] &lt; 0.02,"Excellent",Table3[[#This Row],[Defect rates]] &lt; 0.05,"Acceptable",Table3[[#This Row],[Defect rates]] &lt; 0.1,"Concerning",Table3[[#This Row],[Defect rates]] &gt; 0.1,"Critical")</f>
        <v>Acceptable</v>
      </c>
      <c r="AD53" s="48">
        <f xml:space="preserve"> Table3[[#This Row],[order Lead times]]+Table3[[#This Row],[Manufacturing lead time]]</f>
        <v>20</v>
      </c>
      <c r="AE53" s="49">
        <f>Table3[[#This Row],[Shipping costs]]/Table3[[#This Row],[Number of products sold]]</f>
        <v>1.8434981929400993E-2</v>
      </c>
      <c r="AF53" s="48" t="str">
        <f>IF(AND(Table3[[#This Row],[Total Lead Time]]&gt;Calculations!$B$6,
        Table3[[#This Row],[Defect rates]]&gt;Calculations!$B$7),
   "Underperforming",
   IF(Table3[[#This Row],[Total Lead Time]]&gt;Calculations!$B$6,
      "Slow",
      IF(Table3[[#This Row],[Defect rates]]&gt;Calculations!$B$7,
         "Quality Issue",
         "Good")))</f>
        <v>Good</v>
      </c>
    </row>
    <row r="54" spans="1:32" x14ac:dyDescent="0.3">
      <c r="A54" s="2" t="s">
        <v>157</v>
      </c>
      <c r="B54" s="3" t="s">
        <v>125</v>
      </c>
      <c r="C54" s="16">
        <v>6.3815331627479663</v>
      </c>
      <c r="D54" s="4">
        <v>14</v>
      </c>
      <c r="E54" s="23">
        <v>637</v>
      </c>
      <c r="F54" s="28">
        <v>8180.3370854254426</v>
      </c>
      <c r="G54" s="3" t="s">
        <v>35</v>
      </c>
      <c r="H54" s="4">
        <v>76</v>
      </c>
      <c r="I54" s="4">
        <v>2</v>
      </c>
      <c r="J54" s="4">
        <v>26</v>
      </c>
      <c r="K54" s="4">
        <v>6</v>
      </c>
      <c r="L54" s="3" t="s">
        <v>36</v>
      </c>
      <c r="M54" s="28">
        <v>9.2281903170525172</v>
      </c>
      <c r="N54" s="3" t="s">
        <v>61</v>
      </c>
      <c r="O54" s="3" t="s">
        <v>53</v>
      </c>
      <c r="P54" s="4">
        <v>2</v>
      </c>
      <c r="Q54" s="4">
        <v>258</v>
      </c>
      <c r="R54" s="4">
        <v>10</v>
      </c>
      <c r="S54" s="28">
        <v>30.661677477859556</v>
      </c>
      <c r="T54" s="3" t="s">
        <v>30</v>
      </c>
      <c r="U54" s="35">
        <v>2.0787506078749688E-2</v>
      </c>
      <c r="V54" s="3" t="s">
        <v>31</v>
      </c>
      <c r="W54" s="3" t="s">
        <v>48</v>
      </c>
      <c r="X54" s="40">
        <v>405.16706788885585</v>
      </c>
      <c r="Y54" s="16">
        <f t="shared" si="1"/>
        <v>7775.1700175365868</v>
      </c>
      <c r="Z54" s="47">
        <f>(Table3[[#This Row],[Revenue generated]]-Table3[[#This Row],[Costs]])/Table3[[#This Row],[Revenue generated]]</f>
        <v>0.95047061463876292</v>
      </c>
      <c r="AA54" s="46" t="str">
        <f>IF(Table3[[#This Row],[Stock levels]]&lt;Table3[[#This Row],[Order quantities]]*0.2,"Critical",IF(Table3[[#This Row],[Stock levels]]&lt;Table3[[#This Row],[Order quantities]]*0.5,"low","Adquate"))</f>
        <v>Adquate</v>
      </c>
      <c r="AB54" s="46" t="str">
        <f>IF( F54 &gt;=Calculations!$B$3,"High",
   IF(F54 &gt;=Calculations!$B$2,"Medium",
   "Low"))</f>
        <v>High</v>
      </c>
      <c r="AC54" s="46" t="str">
        <f>_xlfn.IFS(Table3[[#This Row],[Defect rates]] &lt; 0.02,"Excellent",Table3[[#This Row],[Defect rates]] &lt; 0.05,"Acceptable",Table3[[#This Row],[Defect rates]] &lt; 0.1,"Concerning",Table3[[#This Row],[Defect rates]] &gt; 0.1,"Critical")</f>
        <v>Acceptable</v>
      </c>
      <c r="AD54" s="48">
        <f xml:space="preserve"> Table3[[#This Row],[order Lead times]]+Table3[[#This Row],[Manufacturing lead time]]</f>
        <v>12</v>
      </c>
      <c r="AE54" s="49">
        <f>Table3[[#This Row],[Shipping costs]]/Table3[[#This Row],[Number of products sold]]</f>
        <v>1.4486954971824988E-2</v>
      </c>
      <c r="AF54" s="48" t="str">
        <f>IF(AND(Table3[[#This Row],[Total Lead Time]]&gt;Calculations!$B$6,
        Table3[[#This Row],[Defect rates]]&gt;Calculations!$B$7),
   "Underperforming",
   IF(Table3[[#This Row],[Total Lead Time]]&gt;Calculations!$B$6,
      "Slow",
      IF(Table3[[#This Row],[Defect rates]]&gt;Calculations!$B$7,
         "Quality Issue",
         "Good")))</f>
        <v>Good</v>
      </c>
    </row>
    <row r="55" spans="1:32" x14ac:dyDescent="0.3">
      <c r="A55" s="2" t="s">
        <v>156</v>
      </c>
      <c r="B55" s="5" t="s">
        <v>140</v>
      </c>
      <c r="C55" s="15">
        <v>19.998176940404221</v>
      </c>
      <c r="D55" s="6">
        <v>18</v>
      </c>
      <c r="E55" s="22">
        <v>223</v>
      </c>
      <c r="F55" s="29">
        <v>1229.5910285649834</v>
      </c>
      <c r="G55" s="5" t="s">
        <v>38</v>
      </c>
      <c r="H55" s="6">
        <v>32</v>
      </c>
      <c r="I55" s="6">
        <v>14</v>
      </c>
      <c r="J55" s="6">
        <v>22</v>
      </c>
      <c r="K55" s="6">
        <v>6</v>
      </c>
      <c r="L55" s="5" t="s">
        <v>27</v>
      </c>
      <c r="M55" s="29">
        <v>1.4543053101535515</v>
      </c>
      <c r="N55" s="5" t="s">
        <v>39</v>
      </c>
      <c r="O55" s="5" t="s">
        <v>29</v>
      </c>
      <c r="P55" s="6">
        <v>4</v>
      </c>
      <c r="Q55" s="6">
        <v>569</v>
      </c>
      <c r="R55" s="6">
        <v>18</v>
      </c>
      <c r="S55" s="29">
        <v>74.608969995194684</v>
      </c>
      <c r="T55" s="5" t="s">
        <v>64</v>
      </c>
      <c r="U55" s="36">
        <v>2.0515129307662465E-2</v>
      </c>
      <c r="V55" s="5" t="s">
        <v>47</v>
      </c>
      <c r="W55" s="5" t="s">
        <v>48</v>
      </c>
      <c r="X55" s="41">
        <v>264.25488983586649</v>
      </c>
      <c r="Y55" s="16">
        <f t="shared" si="1"/>
        <v>965.3361387291169</v>
      </c>
      <c r="Z55" s="47">
        <f>(Table3[[#This Row],[Revenue generated]]-Table3[[#This Row],[Costs]])/Table3[[#This Row],[Revenue generated]]</f>
        <v>0.78508716825604208</v>
      </c>
      <c r="AA55" s="46" t="str">
        <f>IF(Table3[[#This Row],[Stock levels]]&lt;Table3[[#This Row],[Order quantities]]*0.2,"Critical",IF(Table3[[#This Row],[Stock levels]]&lt;Table3[[#This Row],[Order quantities]]*0.5,"low","Adquate"))</f>
        <v>Adquate</v>
      </c>
      <c r="AB55" s="46" t="str">
        <f>IF( F55 &gt;=Calculations!$B$3,"High",
   IF(F55 &gt;=Calculations!$B$2,"Medium",
   "Low"))</f>
        <v>Low</v>
      </c>
      <c r="AC55" s="46" t="str">
        <f>_xlfn.IFS(Table3[[#This Row],[Defect rates]] &lt; 0.02,"Excellent",Table3[[#This Row],[Defect rates]] &lt; 0.05,"Acceptable",Table3[[#This Row],[Defect rates]] &lt; 0.1,"Concerning",Table3[[#This Row],[Defect rates]] &gt; 0.1,"Critical")</f>
        <v>Acceptable</v>
      </c>
      <c r="AD55" s="48">
        <f xml:space="preserve"> Table3[[#This Row],[order Lead times]]+Table3[[#This Row],[Manufacturing lead time]]</f>
        <v>32</v>
      </c>
      <c r="AE55" s="49">
        <f>Table3[[#This Row],[Shipping costs]]/Table3[[#This Row],[Number of products sold]]</f>
        <v>6.5215484760248943E-3</v>
      </c>
      <c r="AF55" s="48" t="str">
        <f>IF(AND(Table3[[#This Row],[Total Lead Time]]&gt;Calculations!$B$6,
        Table3[[#This Row],[Defect rates]]&gt;Calculations!$B$7),
   "Underperforming",
   IF(Table3[[#This Row],[Total Lead Time]]&gt;Calculations!$B$6,
      "Slow",
      IF(Table3[[#This Row],[Defect rates]]&gt;Calculations!$B$7,
         "Quality Issue",
         "Good")))</f>
        <v>Good</v>
      </c>
    </row>
    <row r="56" spans="1:32" x14ac:dyDescent="0.3">
      <c r="A56" s="2" t="s">
        <v>156</v>
      </c>
      <c r="B56" s="3" t="s">
        <v>129</v>
      </c>
      <c r="C56" s="16">
        <v>92.996884233970661</v>
      </c>
      <c r="D56" s="4">
        <v>29</v>
      </c>
      <c r="E56" s="23">
        <v>106</v>
      </c>
      <c r="F56" s="28">
        <v>1889.073589779335</v>
      </c>
      <c r="G56" s="3" t="s">
        <v>26</v>
      </c>
      <c r="H56" s="4">
        <v>16</v>
      </c>
      <c r="I56" s="4">
        <v>20</v>
      </c>
      <c r="J56" s="4">
        <v>56</v>
      </c>
      <c r="K56" s="4">
        <v>10</v>
      </c>
      <c r="L56" s="3" t="s">
        <v>43</v>
      </c>
      <c r="M56" s="28">
        <v>2.4738977610454609</v>
      </c>
      <c r="N56" s="3" t="s">
        <v>39</v>
      </c>
      <c r="O56" s="3" t="s">
        <v>62</v>
      </c>
      <c r="P56" s="4">
        <v>25</v>
      </c>
      <c r="Q56" s="4">
        <v>759</v>
      </c>
      <c r="R56" s="4">
        <v>11</v>
      </c>
      <c r="S56" s="28">
        <v>48.064782640006591</v>
      </c>
      <c r="T56" s="3" t="s">
        <v>64</v>
      </c>
      <c r="U56" s="35">
        <v>2.0300690886687515E-2</v>
      </c>
      <c r="V56" s="3" t="s">
        <v>40</v>
      </c>
      <c r="W56" s="3" t="s">
        <v>41</v>
      </c>
      <c r="X56" s="40">
        <v>873.12964801765145</v>
      </c>
      <c r="Y56" s="16">
        <f t="shared" si="1"/>
        <v>1015.9439417616835</v>
      </c>
      <c r="Z56" s="47">
        <f>(Table3[[#This Row],[Revenue generated]]-Table3[[#This Row],[Costs]])/Table3[[#This Row],[Revenue generated]]</f>
        <v>0.53780008743881558</v>
      </c>
      <c r="AA56" s="46" t="str">
        <f>IF(Table3[[#This Row],[Stock levels]]&lt;Table3[[#This Row],[Order quantities]]*0.2,"Critical",IF(Table3[[#This Row],[Stock levels]]&lt;Table3[[#This Row],[Order quantities]]*0.5,"low","Adquate"))</f>
        <v>low</v>
      </c>
      <c r="AB56" s="46" t="str">
        <f>IF( F56 &gt;=Calculations!$B$3,"High",
   IF(F56 &gt;=Calculations!$B$2,"Medium",
   "Low"))</f>
        <v>Low</v>
      </c>
      <c r="AC56" s="46" t="str">
        <f>_xlfn.IFS(Table3[[#This Row],[Defect rates]] &lt; 0.02,"Excellent",Table3[[#This Row],[Defect rates]] &lt; 0.05,"Acceptable",Table3[[#This Row],[Defect rates]] &lt; 0.1,"Concerning",Table3[[#This Row],[Defect rates]] &gt; 0.1,"Critical")</f>
        <v>Acceptable</v>
      </c>
      <c r="AD56" s="48">
        <f xml:space="preserve"> Table3[[#This Row],[order Lead times]]+Table3[[#This Row],[Manufacturing lead time]]</f>
        <v>31</v>
      </c>
      <c r="AE56" s="49">
        <f>Table3[[#This Row],[Shipping costs]]/Table3[[#This Row],[Number of products sold]]</f>
        <v>2.3338658123070385E-2</v>
      </c>
      <c r="AF56" s="48" t="str">
        <f>IF(AND(Table3[[#This Row],[Total Lead Time]]&gt;Calculations!$B$6,
        Table3[[#This Row],[Defect rates]]&gt;Calculations!$B$7),
   "Underperforming",
   IF(Table3[[#This Row],[Total Lead Time]]&gt;Calculations!$B$6,
      "Slow",
      IF(Table3[[#This Row],[Defect rates]]&gt;Calculations!$B$7,
         "Quality Issue",
         "Good")))</f>
        <v>Good</v>
      </c>
    </row>
    <row r="57" spans="1:32" x14ac:dyDescent="0.3">
      <c r="A57" s="2" t="s">
        <v>155</v>
      </c>
      <c r="B57" s="5" t="s">
        <v>122</v>
      </c>
      <c r="C57" s="15">
        <v>37.931812382790319</v>
      </c>
      <c r="D57" s="6">
        <v>29</v>
      </c>
      <c r="E57" s="22">
        <v>163</v>
      </c>
      <c r="F57" s="29">
        <v>3550.2184327809919</v>
      </c>
      <c r="G57" s="5" t="s">
        <v>26</v>
      </c>
      <c r="H57" s="6">
        <v>0</v>
      </c>
      <c r="I57" s="6">
        <v>8</v>
      </c>
      <c r="J57" s="6">
        <v>58</v>
      </c>
      <c r="K57" s="6">
        <v>8</v>
      </c>
      <c r="L57" s="5" t="s">
        <v>27</v>
      </c>
      <c r="M57" s="29">
        <v>1.1942518648849991</v>
      </c>
      <c r="N57" s="5" t="s">
        <v>61</v>
      </c>
      <c r="O57" s="5" t="s">
        <v>53</v>
      </c>
      <c r="P57" s="6">
        <v>2</v>
      </c>
      <c r="Q57" s="6">
        <v>375</v>
      </c>
      <c r="R57" s="6">
        <v>18</v>
      </c>
      <c r="S57" s="29">
        <v>97.113581563462205</v>
      </c>
      <c r="T57" s="5" t="s">
        <v>46</v>
      </c>
      <c r="U57" s="36">
        <v>1.98346787217418E-2</v>
      </c>
      <c r="V57" s="5" t="s">
        <v>47</v>
      </c>
      <c r="W57" s="5" t="s">
        <v>48</v>
      </c>
      <c r="X57" s="41">
        <v>299.70630311810316</v>
      </c>
      <c r="Y57" s="16">
        <f t="shared" si="1"/>
        <v>3250.5121296628886</v>
      </c>
      <c r="Z57" s="47">
        <f>(Table3[[#This Row],[Revenue generated]]-Table3[[#This Row],[Costs]])/Table3[[#This Row],[Revenue generated]]</f>
        <v>0.91558088360120016</v>
      </c>
      <c r="AA57" s="46" t="str">
        <f>IF(Table3[[#This Row],[Stock levels]]&lt;Table3[[#This Row],[Order quantities]]*0.2,"Critical",IF(Table3[[#This Row],[Stock levels]]&lt;Table3[[#This Row],[Order quantities]]*0.5,"low","Adquate"))</f>
        <v>Critical</v>
      </c>
      <c r="AB57" s="46" t="str">
        <f>IF( F57 &gt;=Calculations!$B$3,"High",
   IF(F57 &gt;=Calculations!$B$2,"Medium",
   "Low"))</f>
        <v>Low</v>
      </c>
      <c r="AC57" s="46" t="str">
        <f>_xlfn.IFS(Table3[[#This Row],[Defect rates]] &lt; 0.02,"Excellent",Table3[[#This Row],[Defect rates]] &lt; 0.05,"Acceptable",Table3[[#This Row],[Defect rates]] &lt; 0.1,"Concerning",Table3[[#This Row],[Defect rates]] &gt; 0.1,"Critical")</f>
        <v>Excellent</v>
      </c>
      <c r="AD57" s="48">
        <f xml:space="preserve"> Table3[[#This Row],[order Lead times]]+Table3[[#This Row],[Manufacturing lead time]]</f>
        <v>26</v>
      </c>
      <c r="AE57" s="49">
        <f>Table3[[#This Row],[Shipping costs]]/Table3[[#This Row],[Number of products sold]]</f>
        <v>7.3266985575766814E-3</v>
      </c>
      <c r="AF57" s="48" t="str">
        <f>IF(AND(Table3[[#This Row],[Total Lead Time]]&gt;Calculations!$B$6,
        Table3[[#This Row],[Defect rates]]&gt;Calculations!$B$7),
   "Underperforming",
   IF(Table3[[#This Row],[Total Lead Time]]&gt;Calculations!$B$6,
      "Slow",
      IF(Table3[[#This Row],[Defect rates]]&gt;Calculations!$B$7,
         "Quality Issue",
         "Good")))</f>
        <v>Good</v>
      </c>
    </row>
    <row r="58" spans="1:32" x14ac:dyDescent="0.3">
      <c r="A58" s="2" t="s">
        <v>157</v>
      </c>
      <c r="B58" s="5" t="s">
        <v>86</v>
      </c>
      <c r="C58" s="15">
        <v>79.209936015656723</v>
      </c>
      <c r="D58" s="6">
        <v>43</v>
      </c>
      <c r="E58" s="22">
        <v>781</v>
      </c>
      <c r="F58" s="29">
        <v>9571.5504873278187</v>
      </c>
      <c r="G58" s="5" t="s">
        <v>38</v>
      </c>
      <c r="H58" s="6">
        <v>89</v>
      </c>
      <c r="I58" s="6">
        <v>13</v>
      </c>
      <c r="J58" s="6">
        <v>64</v>
      </c>
      <c r="K58" s="6">
        <v>4</v>
      </c>
      <c r="L58" s="5" t="s">
        <v>43</v>
      </c>
      <c r="M58" s="29">
        <v>6.5991049012385838</v>
      </c>
      <c r="N58" s="5" t="s">
        <v>28</v>
      </c>
      <c r="O58" s="5" t="s">
        <v>45</v>
      </c>
      <c r="P58" s="6">
        <v>30</v>
      </c>
      <c r="Q58" s="6">
        <v>737</v>
      </c>
      <c r="R58" s="6">
        <v>7</v>
      </c>
      <c r="S58" s="29">
        <v>29.692467153749774</v>
      </c>
      <c r="T58" s="5" t="s">
        <v>64</v>
      </c>
      <c r="U58" s="36">
        <v>1.9460361193861131E-2</v>
      </c>
      <c r="V58" s="5" t="s">
        <v>31</v>
      </c>
      <c r="W58" s="5" t="s">
        <v>48</v>
      </c>
      <c r="X58" s="41">
        <v>761.17390951487755</v>
      </c>
      <c r="Y58" s="16">
        <f t="shared" si="1"/>
        <v>8810.3765778129418</v>
      </c>
      <c r="Z58" s="47">
        <f>(Table3[[#This Row],[Revenue generated]]-Table3[[#This Row],[Costs]])/Table3[[#This Row],[Revenue generated]]</f>
        <v>0.92047538060603373</v>
      </c>
      <c r="AA58" s="46" t="str">
        <f>IF(Table3[[#This Row],[Stock levels]]&lt;Table3[[#This Row],[Order quantities]]*0.2,"Critical",IF(Table3[[#This Row],[Stock levels]]&lt;Table3[[#This Row],[Order quantities]]*0.5,"low","Adquate"))</f>
        <v>Adquate</v>
      </c>
      <c r="AB58" s="46" t="str">
        <f>IF( F58 &gt;=Calculations!$B$3,"High",
   IF(F58 &gt;=Calculations!$B$2,"Medium",
   "Low"))</f>
        <v>High</v>
      </c>
      <c r="AC58" s="46" t="str">
        <f>_xlfn.IFS(Table3[[#This Row],[Defect rates]] &lt; 0.02,"Excellent",Table3[[#This Row],[Defect rates]] &lt; 0.05,"Acceptable",Table3[[#This Row],[Defect rates]] &lt; 0.1,"Concerning",Table3[[#This Row],[Defect rates]] &gt; 0.1,"Critical")</f>
        <v>Excellent</v>
      </c>
      <c r="AD58" s="48">
        <f xml:space="preserve"> Table3[[#This Row],[order Lead times]]+Table3[[#This Row],[Manufacturing lead time]]</f>
        <v>20</v>
      </c>
      <c r="AE58" s="49">
        <f>Table3[[#This Row],[Shipping costs]]/Table3[[#This Row],[Number of products sold]]</f>
        <v>8.4495581321876873E-3</v>
      </c>
      <c r="AF58" s="48" t="str">
        <f>IF(AND(Table3[[#This Row],[Total Lead Time]]&gt;Calculations!$B$6,
        Table3[[#This Row],[Defect rates]]&gt;Calculations!$B$7),
   "Underperforming",
   IF(Table3[[#This Row],[Total Lead Time]]&gt;Calculations!$B$6,
      "Slow",
      IF(Table3[[#This Row],[Defect rates]]&gt;Calculations!$B$7,
         "Quality Issue",
         "Good")))</f>
        <v>Good</v>
      </c>
    </row>
    <row r="59" spans="1:32" x14ac:dyDescent="0.3">
      <c r="A59" s="2" t="s">
        <v>155</v>
      </c>
      <c r="B59" s="3" t="s">
        <v>143</v>
      </c>
      <c r="C59" s="16">
        <v>97.760085581938668</v>
      </c>
      <c r="D59" s="4">
        <v>10</v>
      </c>
      <c r="E59" s="23">
        <v>134</v>
      </c>
      <c r="F59" s="28">
        <v>5924.682566853231</v>
      </c>
      <c r="G59" s="3" t="s">
        <v>38</v>
      </c>
      <c r="H59" s="4">
        <v>90</v>
      </c>
      <c r="I59" s="4">
        <v>1</v>
      </c>
      <c r="J59" s="4">
        <v>27</v>
      </c>
      <c r="K59" s="4">
        <v>8</v>
      </c>
      <c r="L59" s="3" t="s">
        <v>27</v>
      </c>
      <c r="M59" s="28">
        <v>9.9298162452772587</v>
      </c>
      <c r="N59" s="3" t="s">
        <v>39</v>
      </c>
      <c r="O59" s="3" t="s">
        <v>45</v>
      </c>
      <c r="P59" s="4">
        <v>23</v>
      </c>
      <c r="Q59" s="4">
        <v>370</v>
      </c>
      <c r="R59" s="4">
        <v>11</v>
      </c>
      <c r="S59" s="28">
        <v>46.603873381644469</v>
      </c>
      <c r="T59" s="3" t="s">
        <v>30</v>
      </c>
      <c r="U59" s="35">
        <v>1.9076657339590745E-2</v>
      </c>
      <c r="V59" s="3" t="s">
        <v>47</v>
      </c>
      <c r="W59" s="3" t="s">
        <v>32</v>
      </c>
      <c r="X59" s="40">
        <v>517.4999739290605</v>
      </c>
      <c r="Y59" s="16">
        <f t="shared" si="1"/>
        <v>5407.1825929241704</v>
      </c>
      <c r="Z59" s="47">
        <f>(Table3[[#This Row],[Revenue generated]]-Table3[[#This Row],[Costs]])/Table3[[#This Row],[Revenue generated]]</f>
        <v>0.91265355264359427</v>
      </c>
      <c r="AA59" s="46" t="str">
        <f>IF(Table3[[#This Row],[Stock levels]]&lt;Table3[[#This Row],[Order quantities]]*0.2,"Critical",IF(Table3[[#This Row],[Stock levels]]&lt;Table3[[#This Row],[Order quantities]]*0.5,"low","Adquate"))</f>
        <v>Adquate</v>
      </c>
      <c r="AB59" s="46" t="str">
        <f>IF( F59 &gt;=Calculations!$B$3,"High",
   IF(F59 &gt;=Calculations!$B$2,"Medium",
   "Low"))</f>
        <v>Medium</v>
      </c>
      <c r="AC59" s="46" t="str">
        <f>_xlfn.IFS(Table3[[#This Row],[Defect rates]] &lt; 0.02,"Excellent",Table3[[#This Row],[Defect rates]] &lt; 0.05,"Acceptable",Table3[[#This Row],[Defect rates]] &lt; 0.1,"Concerning",Table3[[#This Row],[Defect rates]] &gt; 0.1,"Critical")</f>
        <v>Excellent</v>
      </c>
      <c r="AD59" s="48">
        <f xml:space="preserve"> Table3[[#This Row],[order Lead times]]+Table3[[#This Row],[Manufacturing lead time]]</f>
        <v>12</v>
      </c>
      <c r="AE59" s="49">
        <f>Table3[[#This Row],[Shipping costs]]/Table3[[#This Row],[Number of products sold]]</f>
        <v>7.4103106308039249E-2</v>
      </c>
      <c r="AF59" s="48" t="str">
        <f>IF(AND(Table3[[#This Row],[Total Lead Time]]&gt;Calculations!$B$6,
        Table3[[#This Row],[Defect rates]]&gt;Calculations!$B$7),
   "Underperforming",
   IF(Table3[[#This Row],[Total Lead Time]]&gt;Calculations!$B$6,
      "Slow",
      IF(Table3[[#This Row],[Defect rates]]&gt;Calculations!$B$7,
         "Quality Issue",
         "Good")))</f>
        <v>Good</v>
      </c>
    </row>
    <row r="60" spans="1:32" x14ac:dyDescent="0.3">
      <c r="A60" s="2" t="s">
        <v>155</v>
      </c>
      <c r="B60" s="5" t="s">
        <v>116</v>
      </c>
      <c r="C60" s="15">
        <v>72.796353955587364</v>
      </c>
      <c r="D60" s="6">
        <v>89</v>
      </c>
      <c r="E60" s="22">
        <v>270</v>
      </c>
      <c r="F60" s="29">
        <v>3899.7468337292244</v>
      </c>
      <c r="G60" s="5" t="s">
        <v>38</v>
      </c>
      <c r="H60" s="6">
        <v>86</v>
      </c>
      <c r="I60" s="6">
        <v>2</v>
      </c>
      <c r="J60" s="6">
        <v>40</v>
      </c>
      <c r="K60" s="6">
        <v>7</v>
      </c>
      <c r="L60" s="5" t="s">
        <v>43</v>
      </c>
      <c r="M60" s="29">
        <v>7.2917013887767759</v>
      </c>
      <c r="N60" s="5" t="s">
        <v>61</v>
      </c>
      <c r="O60" s="5" t="s">
        <v>29</v>
      </c>
      <c r="P60" s="6">
        <v>13</v>
      </c>
      <c r="Q60" s="6">
        <v>751</v>
      </c>
      <c r="R60" s="6">
        <v>14</v>
      </c>
      <c r="S60" s="29">
        <v>21.048642725168644</v>
      </c>
      <c r="T60" s="5" t="s">
        <v>64</v>
      </c>
      <c r="U60" s="36">
        <v>1.8740014040443745E-2</v>
      </c>
      <c r="V60" s="5" t="s">
        <v>56</v>
      </c>
      <c r="W60" s="5" t="s">
        <v>41</v>
      </c>
      <c r="X60" s="41">
        <v>320.84651575911158</v>
      </c>
      <c r="Y60" s="16">
        <f t="shared" si="1"/>
        <v>3578.9003179701126</v>
      </c>
      <c r="Z60" s="47">
        <f>(Table3[[#This Row],[Revenue generated]]-Table3[[#This Row],[Costs]])/Table3[[#This Row],[Revenue generated]]</f>
        <v>0.9177263218770807</v>
      </c>
      <c r="AA60" s="46" t="str">
        <f>IF(Table3[[#This Row],[Stock levels]]&lt;Table3[[#This Row],[Order quantities]]*0.2,"Critical",IF(Table3[[#This Row],[Stock levels]]&lt;Table3[[#This Row],[Order quantities]]*0.5,"low","Adquate"))</f>
        <v>Adquate</v>
      </c>
      <c r="AB60" s="46" t="str">
        <f>IF( F60 &gt;=Calculations!$B$3,"High",
   IF(F60 &gt;=Calculations!$B$2,"Medium",
   "Low"))</f>
        <v>Low</v>
      </c>
      <c r="AC60" s="46" t="str">
        <f>_xlfn.IFS(Table3[[#This Row],[Defect rates]] &lt; 0.02,"Excellent",Table3[[#This Row],[Defect rates]] &lt; 0.05,"Acceptable",Table3[[#This Row],[Defect rates]] &lt; 0.1,"Concerning",Table3[[#This Row],[Defect rates]] &gt; 0.1,"Critical")</f>
        <v>Excellent</v>
      </c>
      <c r="AD60" s="48">
        <f xml:space="preserve"> Table3[[#This Row],[order Lead times]]+Table3[[#This Row],[Manufacturing lead time]]</f>
        <v>16</v>
      </c>
      <c r="AE60" s="49">
        <f>Table3[[#This Row],[Shipping costs]]/Table3[[#This Row],[Number of products sold]]</f>
        <v>2.7006301439913984E-2</v>
      </c>
      <c r="AF60" s="48" t="str">
        <f>IF(AND(Table3[[#This Row],[Total Lead Time]]&gt;Calculations!$B$6,
        Table3[[#This Row],[Defect rates]]&gt;Calculations!$B$7),
   "Underperforming",
   IF(Table3[[#This Row],[Total Lead Time]]&gt;Calculations!$B$6,
      "Slow",
      IF(Table3[[#This Row],[Defect rates]]&gt;Calculations!$B$7,
         "Quality Issue",
         "Good")))</f>
        <v>Good</v>
      </c>
    </row>
    <row r="61" spans="1:32" x14ac:dyDescent="0.3">
      <c r="A61" s="2" t="s">
        <v>157</v>
      </c>
      <c r="B61" s="5" t="s">
        <v>124</v>
      </c>
      <c r="C61" s="15">
        <v>47.914541824058766</v>
      </c>
      <c r="D61" s="6">
        <v>90</v>
      </c>
      <c r="E61" s="22">
        <v>32</v>
      </c>
      <c r="F61" s="29">
        <v>7014.8879872033885</v>
      </c>
      <c r="G61" s="5" t="s">
        <v>35</v>
      </c>
      <c r="H61" s="6">
        <v>10</v>
      </c>
      <c r="I61" s="6">
        <v>12</v>
      </c>
      <c r="J61" s="6">
        <v>22</v>
      </c>
      <c r="K61" s="6">
        <v>4</v>
      </c>
      <c r="L61" s="5" t="s">
        <v>27</v>
      </c>
      <c r="M61" s="29">
        <v>6.3157177546007226</v>
      </c>
      <c r="N61" s="5" t="s">
        <v>39</v>
      </c>
      <c r="O61" s="5" t="s">
        <v>53</v>
      </c>
      <c r="P61" s="6">
        <v>22</v>
      </c>
      <c r="Q61" s="6">
        <v>775</v>
      </c>
      <c r="R61" s="6">
        <v>16</v>
      </c>
      <c r="S61" s="29">
        <v>11.440781823761265</v>
      </c>
      <c r="T61" s="5" t="s">
        <v>64</v>
      </c>
      <c r="U61" s="36">
        <v>1.8305755986122316E-2</v>
      </c>
      <c r="V61" s="5" t="s">
        <v>31</v>
      </c>
      <c r="W61" s="5" t="s">
        <v>41</v>
      </c>
      <c r="X61" s="41">
        <v>183.27289874871101</v>
      </c>
      <c r="Y61" s="16">
        <f t="shared" si="1"/>
        <v>6831.6150884546778</v>
      </c>
      <c r="Z61" s="47">
        <f>(Table3[[#This Row],[Revenue generated]]-Table3[[#This Row],[Costs]])/Table3[[#This Row],[Revenue generated]]</f>
        <v>0.97387372413030138</v>
      </c>
      <c r="AA61" s="46" t="str">
        <f>IF(Table3[[#This Row],[Stock levels]]&lt;Table3[[#This Row],[Order quantities]]*0.2,"Critical",IF(Table3[[#This Row],[Stock levels]]&lt;Table3[[#This Row],[Order quantities]]*0.5,"low","Adquate"))</f>
        <v>low</v>
      </c>
      <c r="AB61" s="46" t="str">
        <f>IF( F61 &gt;=Calculations!$B$3,"High",
   IF(F61 &gt;=Calculations!$B$2,"Medium",
   "Low"))</f>
        <v>Medium</v>
      </c>
      <c r="AC61" s="46" t="str">
        <f>_xlfn.IFS(Table3[[#This Row],[Defect rates]] &lt; 0.02,"Excellent",Table3[[#This Row],[Defect rates]] &lt; 0.05,"Acceptable",Table3[[#This Row],[Defect rates]] &lt; 0.1,"Concerning",Table3[[#This Row],[Defect rates]] &gt; 0.1,"Critical")</f>
        <v>Excellent</v>
      </c>
      <c r="AD61" s="48">
        <f xml:space="preserve"> Table3[[#This Row],[order Lead times]]+Table3[[#This Row],[Manufacturing lead time]]</f>
        <v>28</v>
      </c>
      <c r="AE61" s="49">
        <f>Table3[[#This Row],[Shipping costs]]/Table3[[#This Row],[Number of products sold]]</f>
        <v>0.19736617983127258</v>
      </c>
      <c r="AF61" s="48" t="str">
        <f>IF(AND(Table3[[#This Row],[Total Lead Time]]&gt;Calculations!$B$6,
        Table3[[#This Row],[Defect rates]]&gt;Calculations!$B$7),
   "Underperforming",
   IF(Table3[[#This Row],[Total Lead Time]]&gt;Calculations!$B$6,
      "Slow",
      IF(Table3[[#This Row],[Defect rates]]&gt;Calculations!$B$7,
         "Quality Issue",
         "Good")))</f>
        <v>Good</v>
      </c>
    </row>
    <row r="62" spans="1:32" x14ac:dyDescent="0.3">
      <c r="A62" s="2" t="s">
        <v>155</v>
      </c>
      <c r="B62" s="3" t="s">
        <v>105</v>
      </c>
      <c r="C62" s="16">
        <v>26.70076097246173</v>
      </c>
      <c r="D62" s="4">
        <v>61</v>
      </c>
      <c r="E62" s="23">
        <v>154</v>
      </c>
      <c r="F62" s="28">
        <v>9866.465457979697</v>
      </c>
      <c r="G62" s="3" t="s">
        <v>55</v>
      </c>
      <c r="H62" s="4">
        <v>100</v>
      </c>
      <c r="I62" s="4">
        <v>4</v>
      </c>
      <c r="J62" s="4">
        <v>52</v>
      </c>
      <c r="K62" s="4">
        <v>1</v>
      </c>
      <c r="L62" s="3" t="s">
        <v>36</v>
      </c>
      <c r="M62" s="28">
        <v>4.7830005579476653</v>
      </c>
      <c r="N62" s="3" t="s">
        <v>44</v>
      </c>
      <c r="O62" s="3" t="s">
        <v>53</v>
      </c>
      <c r="P62" s="4">
        <v>18</v>
      </c>
      <c r="Q62" s="4">
        <v>673</v>
      </c>
      <c r="R62" s="4">
        <v>28</v>
      </c>
      <c r="S62" s="28">
        <v>14.190328344569981</v>
      </c>
      <c r="T62" s="3" t="s">
        <v>30</v>
      </c>
      <c r="U62" s="35">
        <v>1.7729511720835572E-2</v>
      </c>
      <c r="V62" s="3" t="s">
        <v>31</v>
      </c>
      <c r="W62" s="3" t="s">
        <v>48</v>
      </c>
      <c r="X62" s="40">
        <v>694.98231757944586</v>
      </c>
      <c r="Y62" s="16">
        <f t="shared" si="1"/>
        <v>9171.4831404002507</v>
      </c>
      <c r="Z62" s="47">
        <f>(Table3[[#This Row],[Revenue generated]]-Table3[[#This Row],[Costs]])/Table3[[#This Row],[Revenue generated]]</f>
        <v>0.92956116650493459</v>
      </c>
      <c r="AA62" s="46" t="str">
        <f>IF(Table3[[#This Row],[Stock levels]]&lt;Table3[[#This Row],[Order quantities]]*0.2,"Critical",IF(Table3[[#This Row],[Stock levels]]&lt;Table3[[#This Row],[Order quantities]]*0.5,"low","Adquate"))</f>
        <v>Adquate</v>
      </c>
      <c r="AB62" s="46" t="str">
        <f>IF( F62 &gt;=Calculations!$B$3,"High",
   IF(F62 &gt;=Calculations!$B$2,"Medium",
   "Low"))</f>
        <v>High</v>
      </c>
      <c r="AC62" s="46" t="str">
        <f>_xlfn.IFS(Table3[[#This Row],[Defect rates]] &lt; 0.02,"Excellent",Table3[[#This Row],[Defect rates]] &lt; 0.05,"Acceptable",Table3[[#This Row],[Defect rates]] &lt; 0.1,"Concerning",Table3[[#This Row],[Defect rates]] &gt; 0.1,"Critical")</f>
        <v>Excellent</v>
      </c>
      <c r="AD62" s="48">
        <f xml:space="preserve"> Table3[[#This Row],[order Lead times]]+Table3[[#This Row],[Manufacturing lead time]]</f>
        <v>32</v>
      </c>
      <c r="AE62" s="49">
        <f>Table3[[#This Row],[Shipping costs]]/Table3[[#This Row],[Number of products sold]]</f>
        <v>3.1058445181478347E-2</v>
      </c>
      <c r="AF62" s="48" t="str">
        <f>IF(AND(Table3[[#This Row],[Total Lead Time]]&gt;Calculations!$B$6,
        Table3[[#This Row],[Defect rates]]&gt;Calculations!$B$7),
   "Underperforming",
   IF(Table3[[#This Row],[Total Lead Time]]&gt;Calculations!$B$6,
      "Slow",
      IF(Table3[[#This Row],[Defect rates]]&gt;Calculations!$B$7,
         "Quality Issue",
         "Good")))</f>
        <v>Good</v>
      </c>
    </row>
    <row r="63" spans="1:32" x14ac:dyDescent="0.3">
      <c r="A63" s="2" t="s">
        <v>157</v>
      </c>
      <c r="B63" s="5" t="s">
        <v>112</v>
      </c>
      <c r="C63" s="15">
        <v>59.84156137728931</v>
      </c>
      <c r="D63" s="6">
        <v>81</v>
      </c>
      <c r="E63" s="22">
        <v>896</v>
      </c>
      <c r="F63" s="29">
        <v>2021.1498103371077</v>
      </c>
      <c r="G63" s="5" t="s">
        <v>26</v>
      </c>
      <c r="H63" s="6">
        <v>10</v>
      </c>
      <c r="I63" s="6">
        <v>5</v>
      </c>
      <c r="J63" s="6">
        <v>44</v>
      </c>
      <c r="K63" s="6">
        <v>7</v>
      </c>
      <c r="L63" s="5" t="s">
        <v>36</v>
      </c>
      <c r="M63" s="29">
        <v>4.9384385647120901</v>
      </c>
      <c r="N63" s="5" t="s">
        <v>28</v>
      </c>
      <c r="O63" s="5" t="s">
        <v>50</v>
      </c>
      <c r="P63" s="6">
        <v>18</v>
      </c>
      <c r="Q63" s="6">
        <v>396</v>
      </c>
      <c r="R63" s="6">
        <v>7</v>
      </c>
      <c r="S63" s="29">
        <v>65.047415094691459</v>
      </c>
      <c r="T63" s="5" t="s">
        <v>46</v>
      </c>
      <c r="U63" s="36">
        <v>1.7303747198591967E-2</v>
      </c>
      <c r="V63" s="5" t="s">
        <v>31</v>
      </c>
      <c r="W63" s="5" t="s">
        <v>32</v>
      </c>
      <c r="X63" s="41">
        <v>110.36433523136472</v>
      </c>
      <c r="Y63" s="16">
        <f t="shared" si="1"/>
        <v>1910.785475105743</v>
      </c>
      <c r="Z63" s="47">
        <f>(Table3[[#This Row],[Revenue generated]]-Table3[[#This Row],[Costs]])/Table3[[#This Row],[Revenue generated]]</f>
        <v>0.94539527220253061</v>
      </c>
      <c r="AA63" s="46" t="str">
        <f>IF(Table3[[#This Row],[Stock levels]]&lt;Table3[[#This Row],[Order quantities]]*0.2,"Critical",IF(Table3[[#This Row],[Stock levels]]&lt;Table3[[#This Row],[Order quantities]]*0.5,"low","Adquate"))</f>
        <v>low</v>
      </c>
      <c r="AB63" s="46" t="str">
        <f>IF( F63 &gt;=Calculations!$B$3,"High",
   IF(F63 &gt;=Calculations!$B$2,"Medium",
   "Low"))</f>
        <v>Low</v>
      </c>
      <c r="AC63" s="46" t="str">
        <f>_xlfn.IFS(Table3[[#This Row],[Defect rates]] &lt; 0.02,"Excellent",Table3[[#This Row],[Defect rates]] &lt; 0.05,"Acceptable",Table3[[#This Row],[Defect rates]] &lt; 0.1,"Concerning",Table3[[#This Row],[Defect rates]] &gt; 0.1,"Critical")</f>
        <v>Excellent</v>
      </c>
      <c r="AD63" s="48">
        <f xml:space="preserve"> Table3[[#This Row],[order Lead times]]+Table3[[#This Row],[Manufacturing lead time]]</f>
        <v>12</v>
      </c>
      <c r="AE63" s="49">
        <f>Table3[[#This Row],[Shipping costs]]/Table3[[#This Row],[Number of products sold]]</f>
        <v>5.5116501838304577E-3</v>
      </c>
      <c r="AF63" s="48" t="str">
        <f>IF(AND(Table3[[#This Row],[Total Lead Time]]&gt;Calculations!$B$6,
        Table3[[#This Row],[Defect rates]]&gt;Calculations!$B$7),
   "Underperforming",
   IF(Table3[[#This Row],[Total Lead Time]]&gt;Calculations!$B$6,
      "Slow",
      IF(Table3[[#This Row],[Defect rates]]&gt;Calculations!$B$7,
         "Quality Issue",
         "Good")))</f>
        <v>Good</v>
      </c>
    </row>
    <row r="64" spans="1:32" x14ac:dyDescent="0.3">
      <c r="A64" s="2" t="s">
        <v>155</v>
      </c>
      <c r="B64" s="5" t="s">
        <v>63</v>
      </c>
      <c r="C64" s="15">
        <v>15.707795681912138</v>
      </c>
      <c r="D64" s="6">
        <v>11</v>
      </c>
      <c r="E64" s="22">
        <v>996</v>
      </c>
      <c r="F64" s="29">
        <v>2330.9658020919492</v>
      </c>
      <c r="G64" s="5" t="s">
        <v>26</v>
      </c>
      <c r="H64" s="6">
        <v>51</v>
      </c>
      <c r="I64" s="6">
        <v>13</v>
      </c>
      <c r="J64" s="6">
        <v>80</v>
      </c>
      <c r="K64" s="6">
        <v>2</v>
      </c>
      <c r="L64" s="5" t="s">
        <v>43</v>
      </c>
      <c r="M64" s="29">
        <v>8.6732112112786126</v>
      </c>
      <c r="N64" s="5" t="s">
        <v>44</v>
      </c>
      <c r="O64" s="5" t="s">
        <v>45</v>
      </c>
      <c r="P64" s="6">
        <v>18</v>
      </c>
      <c r="Q64" s="6">
        <v>830</v>
      </c>
      <c r="R64" s="6">
        <v>5</v>
      </c>
      <c r="S64" s="29">
        <v>96.52735278531091</v>
      </c>
      <c r="T64" s="5" t="s">
        <v>64</v>
      </c>
      <c r="U64" s="36">
        <v>1.7273139283559426E-2</v>
      </c>
      <c r="V64" s="5" t="s">
        <v>31</v>
      </c>
      <c r="W64" s="5" t="s">
        <v>32</v>
      </c>
      <c r="X64" s="41">
        <v>806.10317770292295</v>
      </c>
      <c r="Y64" s="16">
        <f t="shared" si="1"/>
        <v>1524.8626243890262</v>
      </c>
      <c r="Z64" s="47">
        <f>(Table3[[#This Row],[Revenue generated]]-Table3[[#This Row],[Costs]])/Table3[[#This Row],[Revenue generated]]</f>
        <v>0.65417631739621518</v>
      </c>
      <c r="AA64" s="46" t="str">
        <f>IF(Table3[[#This Row],[Stock levels]]&lt;Table3[[#This Row],[Order quantities]]*0.2,"Critical",IF(Table3[[#This Row],[Stock levels]]&lt;Table3[[#This Row],[Order quantities]]*0.5,"low","Adquate"))</f>
        <v>Adquate</v>
      </c>
      <c r="AB64" s="46" t="str">
        <f>IF( F64 &gt;=Calculations!$B$3,"High",
   IF(F64 &gt;=Calculations!$B$2,"Medium",
   "Low"))</f>
        <v>Low</v>
      </c>
      <c r="AC64" s="46" t="str">
        <f>_xlfn.IFS(Table3[[#This Row],[Defect rates]] &lt; 0.02,"Excellent",Table3[[#This Row],[Defect rates]] &lt; 0.05,"Acceptable",Table3[[#This Row],[Defect rates]] &lt; 0.1,"Concerning",Table3[[#This Row],[Defect rates]] &gt; 0.1,"Critical")</f>
        <v>Excellent</v>
      </c>
      <c r="AD64" s="48">
        <f xml:space="preserve"> Table3[[#This Row],[order Lead times]]+Table3[[#This Row],[Manufacturing lead time]]</f>
        <v>18</v>
      </c>
      <c r="AE64" s="49">
        <f>Table3[[#This Row],[Shipping costs]]/Table3[[#This Row],[Number of products sold]]</f>
        <v>8.7080433848178845E-3</v>
      </c>
      <c r="AF64" s="48" t="str">
        <f>IF(AND(Table3[[#This Row],[Total Lead Time]]&gt;Calculations!$B$6,
        Table3[[#This Row],[Defect rates]]&gt;Calculations!$B$7),
   "Underperforming",
   IF(Table3[[#This Row],[Total Lead Time]]&gt;Calculations!$B$6,
      "Slow",
      IF(Table3[[#This Row],[Defect rates]]&gt;Calculations!$B$7,
         "Quality Issue",
         "Good")))</f>
        <v>Good</v>
      </c>
    </row>
    <row r="65" spans="1:32" x14ac:dyDescent="0.3">
      <c r="A65" s="2" t="s">
        <v>157</v>
      </c>
      <c r="B65" s="5" t="s">
        <v>102</v>
      </c>
      <c r="C65" s="15">
        <v>76.035544426891718</v>
      </c>
      <c r="D65" s="6">
        <v>28</v>
      </c>
      <c r="E65" s="22">
        <v>29</v>
      </c>
      <c r="F65" s="29">
        <v>7397.0710045871801</v>
      </c>
      <c r="G65" s="5" t="s">
        <v>26</v>
      </c>
      <c r="H65" s="6">
        <v>30</v>
      </c>
      <c r="I65" s="6">
        <v>16</v>
      </c>
      <c r="J65" s="6">
        <v>9</v>
      </c>
      <c r="K65" s="6">
        <v>3</v>
      </c>
      <c r="L65" s="5" t="s">
        <v>43</v>
      </c>
      <c r="M65" s="29">
        <v>7.0958331565551385</v>
      </c>
      <c r="N65" s="5" t="s">
        <v>61</v>
      </c>
      <c r="O65" s="5" t="s">
        <v>29</v>
      </c>
      <c r="P65" s="6">
        <v>9</v>
      </c>
      <c r="Q65" s="6">
        <v>109</v>
      </c>
      <c r="R65" s="6">
        <v>18</v>
      </c>
      <c r="S65" s="29">
        <v>23.126363582464776</v>
      </c>
      <c r="T65" s="5" t="s">
        <v>46</v>
      </c>
      <c r="U65" s="36">
        <v>1.6981125407144037E-2</v>
      </c>
      <c r="V65" s="5" t="s">
        <v>47</v>
      </c>
      <c r="W65" s="5" t="s">
        <v>32</v>
      </c>
      <c r="X65" s="41">
        <v>768.65191395437</v>
      </c>
      <c r="Y65" s="16">
        <f t="shared" si="1"/>
        <v>6628.4190906328104</v>
      </c>
      <c r="Z65" s="47">
        <f>(Table3[[#This Row],[Revenue generated]]-Table3[[#This Row],[Costs]])/Table3[[#This Row],[Revenue generated]]</f>
        <v>0.89608698990753199</v>
      </c>
      <c r="AA65" s="46" t="str">
        <f>IF(Table3[[#This Row],[Stock levels]]&lt;Table3[[#This Row],[Order quantities]]*0.2,"Critical",IF(Table3[[#This Row],[Stock levels]]&lt;Table3[[#This Row],[Order quantities]]*0.5,"low","Adquate"))</f>
        <v>Adquate</v>
      </c>
      <c r="AB65" s="46" t="str">
        <f>IF( F65 &gt;=Calculations!$B$3,"High",
   IF(F65 &gt;=Calculations!$B$2,"Medium",
   "Low"))</f>
        <v>Medium</v>
      </c>
      <c r="AC65" s="46" t="str">
        <f>_xlfn.IFS(Table3[[#This Row],[Defect rates]] &lt; 0.02,"Excellent",Table3[[#This Row],[Defect rates]] &lt; 0.05,"Acceptable",Table3[[#This Row],[Defect rates]] &lt; 0.1,"Concerning",Table3[[#This Row],[Defect rates]] &gt; 0.1,"Critical")</f>
        <v>Excellent</v>
      </c>
      <c r="AD65" s="48">
        <f xml:space="preserve"> Table3[[#This Row],[order Lead times]]+Table3[[#This Row],[Manufacturing lead time]]</f>
        <v>34</v>
      </c>
      <c r="AE65" s="49">
        <f>Table3[[#This Row],[Shipping costs]]/Table3[[#This Row],[Number of products sold]]</f>
        <v>0.2446839019501772</v>
      </c>
      <c r="AF65" s="48" t="str">
        <f>IF(AND(Table3[[#This Row],[Total Lead Time]]&gt;Calculations!$B$6,
        Table3[[#This Row],[Defect rates]]&gt;Calculations!$B$7),
   "Underperforming",
   IF(Table3[[#This Row],[Total Lead Time]]&gt;Calculations!$B$6,
      "Slow",
      IF(Table3[[#This Row],[Defect rates]]&gt;Calculations!$B$7,
         "Quality Issue",
         "Good")))</f>
        <v>Good</v>
      </c>
    </row>
    <row r="66" spans="1:32" x14ac:dyDescent="0.3">
      <c r="A66" s="2" t="s">
        <v>155</v>
      </c>
      <c r="B66" s="3" t="s">
        <v>67</v>
      </c>
      <c r="C66" s="16">
        <v>16.160393317379977</v>
      </c>
      <c r="D66" s="4">
        <v>5</v>
      </c>
      <c r="E66" s="23">
        <v>249</v>
      </c>
      <c r="F66" s="28">
        <v>4052.7384162378667</v>
      </c>
      <c r="G66" s="3" t="s">
        <v>55</v>
      </c>
      <c r="H66" s="4">
        <v>80</v>
      </c>
      <c r="I66" s="4">
        <v>8</v>
      </c>
      <c r="J66" s="4">
        <v>48</v>
      </c>
      <c r="K66" s="4">
        <v>9</v>
      </c>
      <c r="L66" s="3" t="s">
        <v>36</v>
      </c>
      <c r="M66" s="28">
        <v>9.5372830611083383</v>
      </c>
      <c r="N66" s="3" t="s">
        <v>44</v>
      </c>
      <c r="O66" s="3" t="s">
        <v>53</v>
      </c>
      <c r="P66" s="4">
        <v>23</v>
      </c>
      <c r="Q66" s="4">
        <v>173</v>
      </c>
      <c r="R66" s="4">
        <v>10</v>
      </c>
      <c r="S66" s="28">
        <v>97.82905011017327</v>
      </c>
      <c r="T66" s="3" t="s">
        <v>30</v>
      </c>
      <c r="U66" s="35">
        <v>1.6310742300715386E-2</v>
      </c>
      <c r="V66" s="3" t="s">
        <v>31</v>
      </c>
      <c r="W66" s="3" t="s">
        <v>32</v>
      </c>
      <c r="X66" s="40">
        <v>547.24100516096848</v>
      </c>
      <c r="Y66" s="16">
        <f t="shared" ref="Y66:Y97" si="2" xml:space="preserve"> F66 -X66</f>
        <v>3505.4974110768981</v>
      </c>
      <c r="Z66" s="47">
        <f>(Table3[[#This Row],[Revenue generated]]-Table3[[#This Row],[Costs]])/Table3[[#This Row],[Revenue generated]]</f>
        <v>0.86497006493970341</v>
      </c>
      <c r="AA66" s="46" t="str">
        <f>IF(Table3[[#This Row],[Stock levels]]&lt;Table3[[#This Row],[Order quantities]]*0.2,"Critical",IF(Table3[[#This Row],[Stock levels]]&lt;Table3[[#This Row],[Order quantities]]*0.5,"low","Adquate"))</f>
        <v>Adquate</v>
      </c>
      <c r="AB66" s="46" t="str">
        <f>IF( F66 &gt;=Calculations!$B$3,"High",
   IF(F66 &gt;=Calculations!$B$2,"Medium",
   "Low"))</f>
        <v>Low</v>
      </c>
      <c r="AC66" s="46" t="str">
        <f>_xlfn.IFS(Table3[[#This Row],[Defect rates]] &lt; 0.02,"Excellent",Table3[[#This Row],[Defect rates]] &lt; 0.05,"Acceptable",Table3[[#This Row],[Defect rates]] &lt; 0.1,"Concerning",Table3[[#This Row],[Defect rates]] &gt; 0.1,"Critical")</f>
        <v>Excellent</v>
      </c>
      <c r="AD66" s="48">
        <f xml:space="preserve"> Table3[[#This Row],[order Lead times]]+Table3[[#This Row],[Manufacturing lead time]]</f>
        <v>18</v>
      </c>
      <c r="AE66" s="49">
        <f>Table3[[#This Row],[Shipping costs]]/Table3[[#This Row],[Number of products sold]]</f>
        <v>3.830234161087686E-2</v>
      </c>
      <c r="AF66" s="48" t="str">
        <f>IF(AND(Table3[[#This Row],[Total Lead Time]]&gt;Calculations!$B$6,
        Table3[[#This Row],[Defect rates]]&gt;Calculations!$B$7),
   "Underperforming",
   IF(Table3[[#This Row],[Total Lead Time]]&gt;Calculations!$B$6,
      "Slow",
      IF(Table3[[#This Row],[Defect rates]]&gt;Calculations!$B$7,
         "Quality Issue",
         "Good")))</f>
        <v>Good</v>
      </c>
    </row>
    <row r="67" spans="1:32" x14ac:dyDescent="0.3">
      <c r="A67" s="2" t="s">
        <v>156</v>
      </c>
      <c r="B67" s="5" t="s">
        <v>148</v>
      </c>
      <c r="C67" s="15">
        <v>3.0376887246314141</v>
      </c>
      <c r="D67" s="6">
        <v>97</v>
      </c>
      <c r="E67" s="22">
        <v>987</v>
      </c>
      <c r="F67" s="29">
        <v>7888.3565466618729</v>
      </c>
      <c r="G67" s="5" t="s">
        <v>38</v>
      </c>
      <c r="H67" s="6">
        <v>77</v>
      </c>
      <c r="I67" s="6">
        <v>26</v>
      </c>
      <c r="J67" s="6">
        <v>72</v>
      </c>
      <c r="K67" s="6">
        <v>9</v>
      </c>
      <c r="L67" s="5" t="s">
        <v>27</v>
      </c>
      <c r="M67" s="29">
        <v>6.9429459420325808</v>
      </c>
      <c r="N67" s="5" t="s">
        <v>61</v>
      </c>
      <c r="O67" s="5" t="s">
        <v>50</v>
      </c>
      <c r="P67" s="6">
        <v>12</v>
      </c>
      <c r="Q67" s="6">
        <v>908</v>
      </c>
      <c r="R67" s="6">
        <v>14</v>
      </c>
      <c r="S67" s="29">
        <v>60.387378614862122</v>
      </c>
      <c r="T67" s="5" t="s">
        <v>64</v>
      </c>
      <c r="U67" s="36">
        <v>1.4636074984727798E-2</v>
      </c>
      <c r="V67" s="5" t="s">
        <v>47</v>
      </c>
      <c r="W67" s="5" t="s">
        <v>32</v>
      </c>
      <c r="X67" s="41">
        <v>846.66525698669477</v>
      </c>
      <c r="Y67" s="16">
        <f t="shared" si="2"/>
        <v>7041.6912896751783</v>
      </c>
      <c r="Z67" s="47">
        <f>(Table3[[#This Row],[Revenue generated]]-Table3[[#This Row],[Costs]])/Table3[[#This Row],[Revenue generated]]</f>
        <v>0.89266899233339303</v>
      </c>
      <c r="AA67" s="46" t="str">
        <f>IF(Table3[[#This Row],[Stock levels]]&lt;Table3[[#This Row],[Order quantities]]*0.2,"Critical",IF(Table3[[#This Row],[Stock levels]]&lt;Table3[[#This Row],[Order quantities]]*0.5,"low","Adquate"))</f>
        <v>Adquate</v>
      </c>
      <c r="AB67" s="46" t="str">
        <f>IF( F67 &gt;=Calculations!$B$3,"High",
   IF(F67 &gt;=Calculations!$B$2,"Medium",
   "Low"))</f>
        <v>High</v>
      </c>
      <c r="AC67" s="46" t="str">
        <f>_xlfn.IFS(Table3[[#This Row],[Defect rates]] &lt; 0.02,"Excellent",Table3[[#This Row],[Defect rates]] &lt; 0.05,"Acceptable",Table3[[#This Row],[Defect rates]] &lt; 0.1,"Concerning",Table3[[#This Row],[Defect rates]] &gt; 0.1,"Critical")</f>
        <v>Excellent</v>
      </c>
      <c r="AD67" s="48">
        <f xml:space="preserve"> Table3[[#This Row],[order Lead times]]+Table3[[#This Row],[Manufacturing lead time]]</f>
        <v>40</v>
      </c>
      <c r="AE67" s="49">
        <f>Table3[[#This Row],[Shipping costs]]/Table3[[#This Row],[Number of products sold]]</f>
        <v>7.0343930517047428E-3</v>
      </c>
      <c r="AF67" s="48" t="str">
        <f>IF(AND(Table3[[#This Row],[Total Lead Time]]&gt;Calculations!$B$6,
        Table3[[#This Row],[Defect rates]]&gt;Calculations!$B$7),
   "Underperforming",
   IF(Table3[[#This Row],[Total Lead Time]]&gt;Calculations!$B$6,
      "Slow",
      IF(Table3[[#This Row],[Defect rates]]&gt;Calculations!$B$7,
         "Quality Issue",
         "Good")))</f>
        <v>Slow</v>
      </c>
    </row>
    <row r="68" spans="1:32" x14ac:dyDescent="0.3">
      <c r="A68" s="2" t="s">
        <v>155</v>
      </c>
      <c r="B68" s="3" t="s">
        <v>93</v>
      </c>
      <c r="C68" s="16">
        <v>19.127477265823256</v>
      </c>
      <c r="D68" s="4">
        <v>26</v>
      </c>
      <c r="E68" s="23">
        <v>176</v>
      </c>
      <c r="F68" s="28">
        <v>1912.4656631007608</v>
      </c>
      <c r="G68" s="3" t="s">
        <v>35</v>
      </c>
      <c r="H68" s="4">
        <v>78</v>
      </c>
      <c r="I68" s="4">
        <v>29</v>
      </c>
      <c r="J68" s="4">
        <v>34</v>
      </c>
      <c r="K68" s="4">
        <v>3</v>
      </c>
      <c r="L68" s="3" t="s">
        <v>36</v>
      </c>
      <c r="M68" s="28">
        <v>5.5625037788303837</v>
      </c>
      <c r="N68" s="3" t="s">
        <v>61</v>
      </c>
      <c r="O68" s="3" t="s">
        <v>45</v>
      </c>
      <c r="P68" s="4">
        <v>30</v>
      </c>
      <c r="Q68" s="4">
        <v>791</v>
      </c>
      <c r="R68" s="4">
        <v>6</v>
      </c>
      <c r="S68" s="28">
        <v>9.0058074287816421</v>
      </c>
      <c r="T68" s="3" t="s">
        <v>46</v>
      </c>
      <c r="U68" s="35">
        <v>1.451972203996816E-2</v>
      </c>
      <c r="V68" s="3" t="s">
        <v>40</v>
      </c>
      <c r="W68" s="3" t="s">
        <v>32</v>
      </c>
      <c r="X68" s="40">
        <v>653.67299455203317</v>
      </c>
      <c r="Y68" s="16">
        <f t="shared" si="2"/>
        <v>1258.7926685487278</v>
      </c>
      <c r="Z68" s="47">
        <f>(Table3[[#This Row],[Revenue generated]]-Table3[[#This Row],[Costs]])/Table3[[#This Row],[Revenue generated]]</f>
        <v>0.65820406234525242</v>
      </c>
      <c r="AA68" s="46" t="str">
        <f>IF(Table3[[#This Row],[Stock levels]]&lt;Table3[[#This Row],[Order quantities]]*0.2,"Critical",IF(Table3[[#This Row],[Stock levels]]&lt;Table3[[#This Row],[Order quantities]]*0.5,"low","Adquate"))</f>
        <v>Adquate</v>
      </c>
      <c r="AB68" s="46" t="str">
        <f>IF( F68 &gt;=Calculations!$B$3,"High",
   IF(F68 &gt;=Calculations!$B$2,"Medium",
   "Low"))</f>
        <v>Low</v>
      </c>
      <c r="AC68" s="46" t="str">
        <f>_xlfn.IFS(Table3[[#This Row],[Defect rates]] &lt; 0.02,"Excellent",Table3[[#This Row],[Defect rates]] &lt; 0.05,"Acceptable",Table3[[#This Row],[Defect rates]] &lt; 0.1,"Concerning",Table3[[#This Row],[Defect rates]] &gt; 0.1,"Critical")</f>
        <v>Excellent</v>
      </c>
      <c r="AD68" s="48">
        <f xml:space="preserve"> Table3[[#This Row],[order Lead times]]+Table3[[#This Row],[Manufacturing lead time]]</f>
        <v>35</v>
      </c>
      <c r="AE68" s="49">
        <f>Table3[[#This Row],[Shipping costs]]/Table3[[#This Row],[Number of products sold]]</f>
        <v>3.1605135106990818E-2</v>
      </c>
      <c r="AF68" s="48" t="str">
        <f>IF(AND(Table3[[#This Row],[Total Lead Time]]&gt;Calculations!$B$6,
        Table3[[#This Row],[Defect rates]]&gt;Calculations!$B$7),
   "Underperforming",
   IF(Table3[[#This Row],[Total Lead Time]]&gt;Calculations!$B$6,
      "Slow",
      IF(Table3[[#This Row],[Defect rates]]&gt;Calculations!$B$7,
         "Quality Issue",
         "Good")))</f>
        <v>Good</v>
      </c>
    </row>
    <row r="69" spans="1:32" x14ac:dyDescent="0.3">
      <c r="A69" s="2" t="s">
        <v>156</v>
      </c>
      <c r="B69" s="3" t="s">
        <v>107</v>
      </c>
      <c r="C69" s="16">
        <v>30.341470711214214</v>
      </c>
      <c r="D69" s="4">
        <v>93</v>
      </c>
      <c r="E69" s="23">
        <v>242</v>
      </c>
      <c r="F69" s="28">
        <v>8232.3348294258212</v>
      </c>
      <c r="G69" s="3" t="s">
        <v>55</v>
      </c>
      <c r="H69" s="4">
        <v>96</v>
      </c>
      <c r="I69" s="4">
        <v>25</v>
      </c>
      <c r="J69" s="4">
        <v>54</v>
      </c>
      <c r="K69" s="4">
        <v>3</v>
      </c>
      <c r="L69" s="3" t="s">
        <v>27</v>
      </c>
      <c r="M69" s="28">
        <v>1.0134865660958963</v>
      </c>
      <c r="N69" s="3" t="s">
        <v>39</v>
      </c>
      <c r="O69" s="3" t="s">
        <v>50</v>
      </c>
      <c r="P69" s="4">
        <v>1</v>
      </c>
      <c r="Q69" s="4">
        <v>631</v>
      </c>
      <c r="R69" s="4">
        <v>17</v>
      </c>
      <c r="S69" s="28">
        <v>83.344058991677969</v>
      </c>
      <c r="T69" s="3" t="s">
        <v>30</v>
      </c>
      <c r="U69" s="35">
        <v>1.4103475760760271E-2</v>
      </c>
      <c r="V69" s="3" t="s">
        <v>40</v>
      </c>
      <c r="W69" s="3" t="s">
        <v>32</v>
      </c>
      <c r="X69" s="40">
        <v>750.73784066827091</v>
      </c>
      <c r="Y69" s="16">
        <f t="shared" si="2"/>
        <v>7481.5969887575502</v>
      </c>
      <c r="Z69" s="47">
        <f>(Table3[[#This Row],[Revenue generated]]-Table3[[#This Row],[Costs]])/Table3[[#This Row],[Revenue generated]]</f>
        <v>0.90880620671734358</v>
      </c>
      <c r="AA69" s="46" t="str">
        <f>IF(Table3[[#This Row],[Stock levels]]&lt;Table3[[#This Row],[Order quantities]]*0.2,"Critical",IF(Table3[[#This Row],[Stock levels]]&lt;Table3[[#This Row],[Order quantities]]*0.5,"low","Adquate"))</f>
        <v>Adquate</v>
      </c>
      <c r="AB69" s="46" t="str">
        <f>IF( F69 &gt;=Calculations!$B$3,"High",
   IF(F69 &gt;=Calculations!$B$2,"Medium",
   "Low"))</f>
        <v>High</v>
      </c>
      <c r="AC69" s="46" t="str">
        <f>_xlfn.IFS(Table3[[#This Row],[Defect rates]] &lt; 0.02,"Excellent",Table3[[#This Row],[Defect rates]] &lt; 0.05,"Acceptable",Table3[[#This Row],[Defect rates]] &lt; 0.1,"Concerning",Table3[[#This Row],[Defect rates]] &gt; 0.1,"Critical")</f>
        <v>Excellent</v>
      </c>
      <c r="AD69" s="48">
        <f xml:space="preserve"> Table3[[#This Row],[order Lead times]]+Table3[[#This Row],[Manufacturing lead time]]</f>
        <v>42</v>
      </c>
      <c r="AE69" s="49">
        <f>Table3[[#This Row],[Shipping costs]]/Table3[[#This Row],[Number of products sold]]</f>
        <v>4.1879610169251909E-3</v>
      </c>
      <c r="AF69" s="48" t="str">
        <f>IF(AND(Table3[[#This Row],[Total Lead Time]]&gt;Calculations!$B$6,
        Table3[[#This Row],[Defect rates]]&gt;Calculations!$B$7),
   "Underperforming",
   IF(Table3[[#This Row],[Total Lead Time]]&gt;Calculations!$B$6,
      "Slow",
      IF(Table3[[#This Row],[Defect rates]]&gt;Calculations!$B$7,
         "Quality Issue",
         "Good")))</f>
        <v>Slow</v>
      </c>
    </row>
    <row r="70" spans="1:32" x14ac:dyDescent="0.3">
      <c r="A70" s="2" t="s">
        <v>155</v>
      </c>
      <c r="B70" s="3" t="s">
        <v>139</v>
      </c>
      <c r="C70" s="16">
        <v>76.962994415193876</v>
      </c>
      <c r="D70" s="4">
        <v>83</v>
      </c>
      <c r="E70" s="23">
        <v>25</v>
      </c>
      <c r="F70" s="28">
        <v>8684.6130592538575</v>
      </c>
      <c r="G70" s="3" t="s">
        <v>35</v>
      </c>
      <c r="H70" s="4">
        <v>15</v>
      </c>
      <c r="I70" s="4">
        <v>18</v>
      </c>
      <c r="J70" s="4">
        <v>66</v>
      </c>
      <c r="K70" s="4">
        <v>2</v>
      </c>
      <c r="L70" s="3" t="s">
        <v>43</v>
      </c>
      <c r="M70" s="28">
        <v>8.2491687048717282</v>
      </c>
      <c r="N70" s="3" t="s">
        <v>44</v>
      </c>
      <c r="O70" s="3" t="s">
        <v>62</v>
      </c>
      <c r="P70" s="4">
        <v>4</v>
      </c>
      <c r="Q70" s="4">
        <v>211</v>
      </c>
      <c r="R70" s="4">
        <v>2</v>
      </c>
      <c r="S70" s="28">
        <v>69.929345518672307</v>
      </c>
      <c r="T70" s="3" t="s">
        <v>46</v>
      </c>
      <c r="U70" s="35">
        <v>1.3744289997457582E-2</v>
      </c>
      <c r="V70" s="3" t="s">
        <v>31</v>
      </c>
      <c r="W70" s="3" t="s">
        <v>32</v>
      </c>
      <c r="X70" s="40">
        <v>842.68683000464148</v>
      </c>
      <c r="Y70" s="16">
        <f t="shared" si="2"/>
        <v>7841.9262292492158</v>
      </c>
      <c r="Z70" s="47">
        <f>(Table3[[#This Row],[Revenue generated]]-Table3[[#This Row],[Costs]])/Table3[[#This Row],[Revenue generated]]</f>
        <v>0.90296783238871881</v>
      </c>
      <c r="AA70" s="46" t="str">
        <f>IF(Table3[[#This Row],[Stock levels]]&lt;Table3[[#This Row],[Order quantities]]*0.2,"Critical",IF(Table3[[#This Row],[Stock levels]]&lt;Table3[[#This Row],[Order quantities]]*0.5,"low","Adquate"))</f>
        <v>low</v>
      </c>
      <c r="AB70" s="46" t="str">
        <f>IF( F70 &gt;=Calculations!$B$3,"High",
   IF(F70 &gt;=Calculations!$B$2,"Medium",
   "Low"))</f>
        <v>High</v>
      </c>
      <c r="AC70" s="46" t="str">
        <f>_xlfn.IFS(Table3[[#This Row],[Defect rates]] &lt; 0.02,"Excellent",Table3[[#This Row],[Defect rates]] &lt; 0.05,"Acceptable",Table3[[#This Row],[Defect rates]] &lt; 0.1,"Concerning",Table3[[#This Row],[Defect rates]] &gt; 0.1,"Critical")</f>
        <v>Excellent</v>
      </c>
      <c r="AD70" s="48">
        <f xml:space="preserve"> Table3[[#This Row],[order Lead times]]+Table3[[#This Row],[Manufacturing lead time]]</f>
        <v>20</v>
      </c>
      <c r="AE70" s="49">
        <f>Table3[[#This Row],[Shipping costs]]/Table3[[#This Row],[Number of products sold]]</f>
        <v>0.32996674819486915</v>
      </c>
      <c r="AF70" s="48" t="str">
        <f>IF(AND(Table3[[#This Row],[Total Lead Time]]&gt;Calculations!$B$6,
        Table3[[#This Row],[Defect rates]]&gt;Calculations!$B$7),
   "Underperforming",
   IF(Table3[[#This Row],[Total Lead Time]]&gt;Calculations!$B$6,
      "Slow",
      IF(Table3[[#This Row],[Defect rates]]&gt;Calculations!$B$7,
         "Quality Issue",
         "Good")))</f>
        <v>Good</v>
      </c>
    </row>
    <row r="71" spans="1:32" x14ac:dyDescent="0.3">
      <c r="A71" s="2" t="s">
        <v>156</v>
      </c>
      <c r="B71" s="3" t="s">
        <v>123</v>
      </c>
      <c r="C71" s="16">
        <v>54.865528517069791</v>
      </c>
      <c r="D71" s="4">
        <v>62</v>
      </c>
      <c r="E71" s="23">
        <v>511</v>
      </c>
      <c r="F71" s="28">
        <v>1752.3810874841247</v>
      </c>
      <c r="G71" s="3" t="s">
        <v>26</v>
      </c>
      <c r="H71" s="4">
        <v>95</v>
      </c>
      <c r="I71" s="4">
        <v>1</v>
      </c>
      <c r="J71" s="4">
        <v>27</v>
      </c>
      <c r="K71" s="4">
        <v>3</v>
      </c>
      <c r="L71" s="3" t="s">
        <v>27</v>
      </c>
      <c r="M71" s="28">
        <v>9.7052867901203488</v>
      </c>
      <c r="N71" s="3" t="s">
        <v>52</v>
      </c>
      <c r="O71" s="3" t="s">
        <v>45</v>
      </c>
      <c r="P71" s="4">
        <v>9</v>
      </c>
      <c r="Q71" s="4">
        <v>862</v>
      </c>
      <c r="R71" s="4">
        <v>7</v>
      </c>
      <c r="S71" s="28">
        <v>77.627765812748166</v>
      </c>
      <c r="T71" s="3" t="s">
        <v>30</v>
      </c>
      <c r="U71" s="35">
        <v>1.3623879886491086E-2</v>
      </c>
      <c r="V71" s="3" t="s">
        <v>40</v>
      </c>
      <c r="W71" s="3" t="s">
        <v>48</v>
      </c>
      <c r="X71" s="40">
        <v>207.66320620857562</v>
      </c>
      <c r="Y71" s="16">
        <f t="shared" si="2"/>
        <v>1544.7178812755492</v>
      </c>
      <c r="Z71" s="47">
        <f>(Table3[[#This Row],[Revenue generated]]-Table3[[#This Row],[Costs]])/Table3[[#This Row],[Revenue generated]]</f>
        <v>0.88149654907157471</v>
      </c>
      <c r="AA71" s="46" t="str">
        <f>IF(Table3[[#This Row],[Stock levels]]&lt;Table3[[#This Row],[Order quantities]]*0.2,"Critical",IF(Table3[[#This Row],[Stock levels]]&lt;Table3[[#This Row],[Order quantities]]*0.5,"low","Adquate"))</f>
        <v>Adquate</v>
      </c>
      <c r="AB71" s="46" t="str">
        <f>IF( F71 &gt;=Calculations!$B$3,"High",
   IF(F71 &gt;=Calculations!$B$2,"Medium",
   "Low"))</f>
        <v>Low</v>
      </c>
      <c r="AC71" s="46" t="str">
        <f>_xlfn.IFS(Table3[[#This Row],[Defect rates]] &lt; 0.02,"Excellent",Table3[[#This Row],[Defect rates]] &lt; 0.05,"Acceptable",Table3[[#This Row],[Defect rates]] &lt; 0.1,"Concerning",Table3[[#This Row],[Defect rates]] &gt; 0.1,"Critical")</f>
        <v>Excellent</v>
      </c>
      <c r="AD71" s="48">
        <f xml:space="preserve"> Table3[[#This Row],[order Lead times]]+Table3[[#This Row],[Manufacturing lead time]]</f>
        <v>8</v>
      </c>
      <c r="AE71" s="49">
        <f>Table3[[#This Row],[Shipping costs]]/Table3[[#This Row],[Number of products sold]]</f>
        <v>1.8992733444462524E-2</v>
      </c>
      <c r="AF71" s="48" t="str">
        <f>IF(AND(Table3[[#This Row],[Total Lead Time]]&gt;Calculations!$B$6,
        Table3[[#This Row],[Defect rates]]&gt;Calculations!$B$7),
   "Underperforming",
   IF(Table3[[#This Row],[Total Lead Time]]&gt;Calculations!$B$6,
      "Slow",
      IF(Table3[[#This Row],[Defect rates]]&gt;Calculations!$B$7,
         "Quality Issue",
         "Good")))</f>
        <v>Good</v>
      </c>
    </row>
    <row r="72" spans="1:32" x14ac:dyDescent="0.3">
      <c r="A72" s="2" t="s">
        <v>156</v>
      </c>
      <c r="B72" s="3" t="s">
        <v>77</v>
      </c>
      <c r="C72" s="16">
        <v>4.3243411858641636</v>
      </c>
      <c r="D72" s="4">
        <v>30</v>
      </c>
      <c r="E72" s="23">
        <v>391</v>
      </c>
      <c r="F72" s="28">
        <v>8858.367571011484</v>
      </c>
      <c r="G72" s="3" t="s">
        <v>38</v>
      </c>
      <c r="H72" s="4">
        <v>84</v>
      </c>
      <c r="I72" s="4">
        <v>5</v>
      </c>
      <c r="J72" s="4">
        <v>29</v>
      </c>
      <c r="K72" s="4">
        <v>7</v>
      </c>
      <c r="L72" s="3" t="s">
        <v>36</v>
      </c>
      <c r="M72" s="28">
        <v>2.924857601145554</v>
      </c>
      <c r="N72" s="3" t="s">
        <v>44</v>
      </c>
      <c r="O72" s="3" t="s">
        <v>45</v>
      </c>
      <c r="P72" s="4">
        <v>11</v>
      </c>
      <c r="Q72" s="4">
        <v>568</v>
      </c>
      <c r="R72" s="4">
        <v>29</v>
      </c>
      <c r="S72" s="28">
        <v>98.609957242703871</v>
      </c>
      <c r="T72" s="3" t="s">
        <v>30</v>
      </c>
      <c r="U72" s="35">
        <v>1.3422915627227338E-2</v>
      </c>
      <c r="V72" s="3" t="s">
        <v>47</v>
      </c>
      <c r="W72" s="3" t="s">
        <v>48</v>
      </c>
      <c r="X72" s="40">
        <v>196.32944611241268</v>
      </c>
      <c r="Y72" s="16">
        <f t="shared" si="2"/>
        <v>8662.0381248990707</v>
      </c>
      <c r="Z72" s="47">
        <f>(Table3[[#This Row],[Revenue generated]]-Table3[[#This Row],[Costs]])/Table3[[#This Row],[Revenue generated]]</f>
        <v>0.97783683680558819</v>
      </c>
      <c r="AA72" s="46" t="str">
        <f>IF(Table3[[#This Row],[Stock levels]]&lt;Table3[[#This Row],[Order quantities]]*0.2,"Critical",IF(Table3[[#This Row],[Stock levels]]&lt;Table3[[#This Row],[Order quantities]]*0.5,"low","Adquate"))</f>
        <v>Adquate</v>
      </c>
      <c r="AB72" s="46" t="str">
        <f>IF( F72 &gt;=Calculations!$B$3,"High",
   IF(F72 &gt;=Calculations!$B$2,"Medium",
   "Low"))</f>
        <v>High</v>
      </c>
      <c r="AC72" s="46" t="str">
        <f>_xlfn.IFS(Table3[[#This Row],[Defect rates]] &lt; 0.02,"Excellent",Table3[[#This Row],[Defect rates]] &lt; 0.05,"Acceptable",Table3[[#This Row],[Defect rates]] &lt; 0.1,"Concerning",Table3[[#This Row],[Defect rates]] &gt; 0.1,"Critical")</f>
        <v>Excellent</v>
      </c>
      <c r="AD72" s="48">
        <f xml:space="preserve"> Table3[[#This Row],[order Lead times]]+Table3[[#This Row],[Manufacturing lead time]]</f>
        <v>34</v>
      </c>
      <c r="AE72" s="49">
        <f>Table3[[#This Row],[Shipping costs]]/Table3[[#This Row],[Number of products sold]]</f>
        <v>7.4804542228786549E-3</v>
      </c>
      <c r="AF72" s="48" t="str">
        <f>IF(AND(Table3[[#This Row],[Total Lead Time]]&gt;Calculations!$B$6,
        Table3[[#This Row],[Defect rates]]&gt;Calculations!$B$7),
   "Underperforming",
   IF(Table3[[#This Row],[Total Lead Time]]&gt;Calculations!$B$6,
      "Slow",
      IF(Table3[[#This Row],[Defect rates]]&gt;Calculations!$B$7,
         "Quality Issue",
         "Good")))</f>
        <v>Good</v>
      </c>
    </row>
    <row r="73" spans="1:32" x14ac:dyDescent="0.3">
      <c r="A73" s="2" t="s">
        <v>157</v>
      </c>
      <c r="B73" s="5" t="s">
        <v>144</v>
      </c>
      <c r="C73" s="15">
        <v>13.881913501359142</v>
      </c>
      <c r="D73" s="6">
        <v>56</v>
      </c>
      <c r="E73" s="22">
        <v>320</v>
      </c>
      <c r="F73" s="29">
        <v>9592.6335702803117</v>
      </c>
      <c r="G73" s="5" t="s">
        <v>26</v>
      </c>
      <c r="H73" s="6">
        <v>66</v>
      </c>
      <c r="I73" s="6">
        <v>18</v>
      </c>
      <c r="J73" s="6">
        <v>96</v>
      </c>
      <c r="K73" s="6">
        <v>7</v>
      </c>
      <c r="L73" s="5" t="s">
        <v>27</v>
      </c>
      <c r="M73" s="29">
        <v>7.6744307081126939</v>
      </c>
      <c r="N73" s="5" t="s">
        <v>28</v>
      </c>
      <c r="O73" s="5" t="s">
        <v>53</v>
      </c>
      <c r="P73" s="6">
        <v>8</v>
      </c>
      <c r="Q73" s="6">
        <v>585</v>
      </c>
      <c r="R73" s="6">
        <v>8</v>
      </c>
      <c r="S73" s="29">
        <v>85.675963335797974</v>
      </c>
      <c r="T73" s="5" t="s">
        <v>64</v>
      </c>
      <c r="U73" s="36">
        <v>1.2193822244013885E-2</v>
      </c>
      <c r="V73" s="5" t="s">
        <v>47</v>
      </c>
      <c r="W73" s="5" t="s">
        <v>32</v>
      </c>
      <c r="X73" s="41">
        <v>990.07847250581119</v>
      </c>
      <c r="Y73" s="16">
        <f t="shared" si="2"/>
        <v>8602.5550977745006</v>
      </c>
      <c r="Z73" s="47">
        <f>(Table3[[#This Row],[Revenue generated]]-Table3[[#This Row],[Costs]])/Table3[[#This Row],[Revenue generated]]</f>
        <v>0.89678762716703253</v>
      </c>
      <c r="AA73" s="46" t="str">
        <f>IF(Table3[[#This Row],[Stock levels]]&lt;Table3[[#This Row],[Order quantities]]*0.2,"Critical",IF(Table3[[#This Row],[Stock levels]]&lt;Table3[[#This Row],[Order quantities]]*0.5,"low","Adquate"))</f>
        <v>Adquate</v>
      </c>
      <c r="AB73" s="46" t="str">
        <f>IF( F73 &gt;=Calculations!$B$3,"High",
   IF(F73 &gt;=Calculations!$B$2,"Medium",
   "Low"))</f>
        <v>High</v>
      </c>
      <c r="AC73" s="46" t="str">
        <f>_xlfn.IFS(Table3[[#This Row],[Defect rates]] &lt; 0.02,"Excellent",Table3[[#This Row],[Defect rates]] &lt; 0.05,"Acceptable",Table3[[#This Row],[Defect rates]] &lt; 0.1,"Concerning",Table3[[#This Row],[Defect rates]] &gt; 0.1,"Critical")</f>
        <v>Excellent</v>
      </c>
      <c r="AD73" s="48">
        <f xml:space="preserve"> Table3[[#This Row],[order Lead times]]+Table3[[#This Row],[Manufacturing lead time]]</f>
        <v>26</v>
      </c>
      <c r="AE73" s="49">
        <f>Table3[[#This Row],[Shipping costs]]/Table3[[#This Row],[Number of products sold]]</f>
        <v>2.3982595962852168E-2</v>
      </c>
      <c r="AF73" s="48" t="str">
        <f>IF(AND(Table3[[#This Row],[Total Lead Time]]&gt;Calculations!$B$6,
        Table3[[#This Row],[Defect rates]]&gt;Calculations!$B$7),
   "Underperforming",
   IF(Table3[[#This Row],[Total Lead Time]]&gt;Calculations!$B$6,
      "Slow",
      IF(Table3[[#This Row],[Defect rates]]&gt;Calculations!$B$7,
         "Quality Issue",
         "Good")))</f>
        <v>Good</v>
      </c>
    </row>
    <row r="74" spans="1:32" x14ac:dyDescent="0.3">
      <c r="A74" s="2" t="s">
        <v>157</v>
      </c>
      <c r="B74" s="3" t="s">
        <v>149</v>
      </c>
      <c r="C74" s="16">
        <v>77.903927219447752</v>
      </c>
      <c r="D74" s="4">
        <v>65</v>
      </c>
      <c r="E74" s="23">
        <v>672</v>
      </c>
      <c r="F74" s="28">
        <v>7386.3639440486641</v>
      </c>
      <c r="G74" s="3" t="s">
        <v>38</v>
      </c>
      <c r="H74" s="4">
        <v>15</v>
      </c>
      <c r="I74" s="4">
        <v>14</v>
      </c>
      <c r="J74" s="4">
        <v>26</v>
      </c>
      <c r="K74" s="4">
        <v>9</v>
      </c>
      <c r="L74" s="3" t="s">
        <v>27</v>
      </c>
      <c r="M74" s="28">
        <v>8.6303388696027543</v>
      </c>
      <c r="N74" s="3" t="s">
        <v>52</v>
      </c>
      <c r="O74" s="3" t="s">
        <v>29</v>
      </c>
      <c r="P74" s="4">
        <v>18</v>
      </c>
      <c r="Q74" s="4">
        <v>450</v>
      </c>
      <c r="R74" s="4">
        <v>26</v>
      </c>
      <c r="S74" s="28">
        <v>58.890685768589982</v>
      </c>
      <c r="T74" s="3" t="s">
        <v>30</v>
      </c>
      <c r="U74" s="35">
        <v>1.2108821295850664E-2</v>
      </c>
      <c r="V74" s="3" t="s">
        <v>40</v>
      </c>
      <c r="W74" s="3" t="s">
        <v>48</v>
      </c>
      <c r="X74" s="40">
        <v>778.8642413766479</v>
      </c>
      <c r="Y74" s="16">
        <f t="shared" si="2"/>
        <v>6607.4997026720157</v>
      </c>
      <c r="Z74" s="47">
        <f>(Table3[[#This Row],[Revenue generated]]-Table3[[#This Row],[Costs]])/Table3[[#This Row],[Revenue generated]]</f>
        <v>0.89455376863684133</v>
      </c>
      <c r="AA74" s="46" t="str">
        <f>IF(Table3[[#This Row],[Stock levels]]&lt;Table3[[#This Row],[Order quantities]]*0.2,"Critical",IF(Table3[[#This Row],[Stock levels]]&lt;Table3[[#This Row],[Order quantities]]*0.5,"low","Adquate"))</f>
        <v>Adquate</v>
      </c>
      <c r="AB74" s="46" t="str">
        <f>IF( F74 &gt;=Calculations!$B$3,"High",
   IF(F74 &gt;=Calculations!$B$2,"Medium",
   "Low"))</f>
        <v>Medium</v>
      </c>
      <c r="AC74" s="46" t="str">
        <f>_xlfn.IFS(Table3[[#This Row],[Defect rates]] &lt; 0.02,"Excellent",Table3[[#This Row],[Defect rates]] &lt; 0.05,"Acceptable",Table3[[#This Row],[Defect rates]] &lt; 0.1,"Concerning",Table3[[#This Row],[Defect rates]] &gt; 0.1,"Critical")</f>
        <v>Excellent</v>
      </c>
      <c r="AD74" s="48">
        <f xml:space="preserve"> Table3[[#This Row],[order Lead times]]+Table3[[#This Row],[Manufacturing lead time]]</f>
        <v>40</v>
      </c>
      <c r="AE74" s="49">
        <f>Table3[[#This Row],[Shipping costs]]/Table3[[#This Row],[Number of products sold]]</f>
        <v>1.2842766175004098E-2</v>
      </c>
      <c r="AF74" s="48" t="str">
        <f>IF(AND(Table3[[#This Row],[Total Lead Time]]&gt;Calculations!$B$6,
        Table3[[#This Row],[Defect rates]]&gt;Calculations!$B$7),
   "Underperforming",
   IF(Table3[[#This Row],[Total Lead Time]]&gt;Calculations!$B$6,
      "Slow",
      IF(Table3[[#This Row],[Defect rates]]&gt;Calculations!$B$7,
         "Quality Issue",
         "Good")))</f>
        <v>Slow</v>
      </c>
    </row>
    <row r="75" spans="1:32" x14ac:dyDescent="0.3">
      <c r="A75" s="2" t="s">
        <v>156</v>
      </c>
      <c r="B75" s="5" t="s">
        <v>110</v>
      </c>
      <c r="C75" s="15">
        <v>20.986386037043378</v>
      </c>
      <c r="D75" s="6">
        <v>90</v>
      </c>
      <c r="E75" s="22">
        <v>93</v>
      </c>
      <c r="F75" s="29">
        <v>4767.020484344137</v>
      </c>
      <c r="G75" s="5" t="s">
        <v>26</v>
      </c>
      <c r="H75" s="6">
        <v>25</v>
      </c>
      <c r="I75" s="6">
        <v>23</v>
      </c>
      <c r="J75" s="6">
        <v>83</v>
      </c>
      <c r="K75" s="6">
        <v>5</v>
      </c>
      <c r="L75" s="5" t="s">
        <v>43</v>
      </c>
      <c r="M75" s="29">
        <v>1.7744297140717396</v>
      </c>
      <c r="N75" s="5" t="s">
        <v>39</v>
      </c>
      <c r="O75" s="5" t="s">
        <v>29</v>
      </c>
      <c r="P75" s="6">
        <v>24</v>
      </c>
      <c r="Q75" s="6">
        <v>826</v>
      </c>
      <c r="R75" s="6">
        <v>28</v>
      </c>
      <c r="S75" s="29">
        <v>12.836284572832753</v>
      </c>
      <c r="T75" s="5" t="s">
        <v>64</v>
      </c>
      <c r="U75" s="36">
        <v>1.1737554953874541E-2</v>
      </c>
      <c r="V75" s="5" t="s">
        <v>40</v>
      </c>
      <c r="W75" s="5" t="s">
        <v>32</v>
      </c>
      <c r="X75" s="41">
        <v>832.21080870602168</v>
      </c>
      <c r="Y75" s="16">
        <f t="shared" si="2"/>
        <v>3934.8096756381156</v>
      </c>
      <c r="Z75" s="47">
        <f>(Table3[[#This Row],[Revenue generated]]-Table3[[#This Row],[Costs]])/Table3[[#This Row],[Revenue generated]]</f>
        <v>0.82542327824284145</v>
      </c>
      <c r="AA75" s="46" t="str">
        <f>IF(Table3[[#This Row],[Stock levels]]&lt;Table3[[#This Row],[Order quantities]]*0.2,"Critical",IF(Table3[[#This Row],[Stock levels]]&lt;Table3[[#This Row],[Order quantities]]*0.5,"low","Adquate"))</f>
        <v>low</v>
      </c>
      <c r="AB75" s="46" t="str">
        <f>IF( F75 &gt;=Calculations!$B$3,"High",
   IF(F75 &gt;=Calculations!$B$2,"Medium",
   "Low"))</f>
        <v>Medium</v>
      </c>
      <c r="AC75" s="46" t="str">
        <f>_xlfn.IFS(Table3[[#This Row],[Defect rates]] &lt; 0.02,"Excellent",Table3[[#This Row],[Defect rates]] &lt; 0.05,"Acceptable",Table3[[#This Row],[Defect rates]] &lt; 0.1,"Concerning",Table3[[#This Row],[Defect rates]] &gt; 0.1,"Critical")</f>
        <v>Excellent</v>
      </c>
      <c r="AD75" s="48">
        <f xml:space="preserve"> Table3[[#This Row],[order Lead times]]+Table3[[#This Row],[Manufacturing lead time]]</f>
        <v>51</v>
      </c>
      <c r="AE75" s="49">
        <f>Table3[[#This Row],[Shipping costs]]/Table3[[#This Row],[Number of products sold]]</f>
        <v>1.9079889398620854E-2</v>
      </c>
      <c r="AF75" s="48" t="str">
        <f>IF(AND(Table3[[#This Row],[Total Lead Time]]&gt;Calculations!$B$6,
        Table3[[#This Row],[Defect rates]]&gt;Calculations!$B$7),
   "Underperforming",
   IF(Table3[[#This Row],[Total Lead Time]]&gt;Calculations!$B$6,
      "Slow",
      IF(Table3[[#This Row],[Defect rates]]&gt;Calculations!$B$7,
         "Quality Issue",
         "Good")))</f>
        <v>Slow</v>
      </c>
    </row>
    <row r="76" spans="1:32" x14ac:dyDescent="0.3">
      <c r="A76" s="2" t="s">
        <v>157</v>
      </c>
      <c r="B76" s="5" t="s">
        <v>70</v>
      </c>
      <c r="C76" s="15">
        <v>7.5471721097912718</v>
      </c>
      <c r="D76" s="6">
        <v>74</v>
      </c>
      <c r="E76" s="22">
        <v>280</v>
      </c>
      <c r="F76" s="29">
        <v>6453.7979681762854</v>
      </c>
      <c r="G76" s="5" t="s">
        <v>35</v>
      </c>
      <c r="H76" s="6">
        <v>2</v>
      </c>
      <c r="I76" s="6">
        <v>5</v>
      </c>
      <c r="J76" s="6">
        <v>78</v>
      </c>
      <c r="K76" s="6">
        <v>1</v>
      </c>
      <c r="L76" s="5" t="s">
        <v>27</v>
      </c>
      <c r="M76" s="29">
        <v>4.1913245857055017</v>
      </c>
      <c r="N76" s="5" t="s">
        <v>39</v>
      </c>
      <c r="O76" s="5" t="s">
        <v>53</v>
      </c>
      <c r="P76" s="6">
        <v>3</v>
      </c>
      <c r="Q76" s="6">
        <v>399</v>
      </c>
      <c r="R76" s="6">
        <v>21</v>
      </c>
      <c r="S76" s="29">
        <v>77.106342497850008</v>
      </c>
      <c r="T76" s="5" t="s">
        <v>64</v>
      </c>
      <c r="U76" s="36">
        <v>1.012563089258049E-2</v>
      </c>
      <c r="V76" s="5" t="s">
        <v>40</v>
      </c>
      <c r="W76" s="5" t="s">
        <v>48</v>
      </c>
      <c r="X76" s="41">
        <v>865.52577977124031</v>
      </c>
      <c r="Y76" s="16">
        <f t="shared" si="2"/>
        <v>5588.2721884050452</v>
      </c>
      <c r="Z76" s="47">
        <f>(Table3[[#This Row],[Revenue generated]]-Table3[[#This Row],[Costs]])/Table3[[#This Row],[Revenue generated]]</f>
        <v>0.86588892555373553</v>
      </c>
      <c r="AA76" s="46" t="str">
        <f>IF(Table3[[#This Row],[Stock levels]]&lt;Table3[[#This Row],[Order quantities]]*0.2,"Critical",IF(Table3[[#This Row],[Stock levels]]&lt;Table3[[#This Row],[Order quantities]]*0.5,"low","Adquate"))</f>
        <v>Critical</v>
      </c>
      <c r="AB76" s="46" t="str">
        <f>IF( F76 &gt;=Calculations!$B$3,"High",
   IF(F76 &gt;=Calculations!$B$2,"Medium",
   "Low"))</f>
        <v>Medium</v>
      </c>
      <c r="AC76" s="46" t="str">
        <f>_xlfn.IFS(Table3[[#This Row],[Defect rates]] &lt; 0.02,"Excellent",Table3[[#This Row],[Defect rates]] &lt; 0.05,"Acceptable",Table3[[#This Row],[Defect rates]] &lt; 0.1,"Concerning",Table3[[#This Row],[Defect rates]] &gt; 0.1,"Critical")</f>
        <v>Excellent</v>
      </c>
      <c r="AD76" s="48">
        <f xml:space="preserve"> Table3[[#This Row],[order Lead times]]+Table3[[#This Row],[Manufacturing lead time]]</f>
        <v>26</v>
      </c>
      <c r="AE76" s="49">
        <f>Table3[[#This Row],[Shipping costs]]/Table3[[#This Row],[Number of products sold]]</f>
        <v>1.4969016377519649E-2</v>
      </c>
      <c r="AF76" s="48" t="str">
        <f>IF(AND(Table3[[#This Row],[Total Lead Time]]&gt;Calculations!$B$6,
        Table3[[#This Row],[Defect rates]]&gt;Calculations!$B$7),
   "Underperforming",
   IF(Table3[[#This Row],[Total Lead Time]]&gt;Calculations!$B$6,
      "Slow",
      IF(Table3[[#This Row],[Defect rates]]&gt;Calculations!$B$7,
         "Quality Issue",
         "Good")))</f>
        <v>Good</v>
      </c>
    </row>
    <row r="77" spans="1:32" x14ac:dyDescent="0.3">
      <c r="A77" s="2" t="s">
        <v>157</v>
      </c>
      <c r="B77" s="5" t="s">
        <v>54</v>
      </c>
      <c r="C77" s="15">
        <v>4.0783328631079447</v>
      </c>
      <c r="D77" s="6">
        <v>48</v>
      </c>
      <c r="E77" s="22">
        <v>65</v>
      </c>
      <c r="F77" s="29">
        <v>7823.4765595317367</v>
      </c>
      <c r="G77" s="5" t="s">
        <v>55</v>
      </c>
      <c r="H77" s="6">
        <v>11</v>
      </c>
      <c r="I77" s="6">
        <v>15</v>
      </c>
      <c r="J77" s="6">
        <v>58</v>
      </c>
      <c r="K77" s="6">
        <v>8</v>
      </c>
      <c r="L77" s="5" t="s">
        <v>43</v>
      </c>
      <c r="M77" s="29">
        <v>3.8807633029520034</v>
      </c>
      <c r="N77" s="5" t="s">
        <v>28</v>
      </c>
      <c r="O77" s="5" t="s">
        <v>45</v>
      </c>
      <c r="P77" s="6">
        <v>14</v>
      </c>
      <c r="Q77" s="6">
        <v>314</v>
      </c>
      <c r="R77" s="6">
        <v>24</v>
      </c>
      <c r="S77" s="29">
        <v>1.0850685695870688</v>
      </c>
      <c r="T77" s="5" t="s">
        <v>30</v>
      </c>
      <c r="U77" s="36">
        <v>1.0009106193041357E-2</v>
      </c>
      <c r="V77" s="5" t="s">
        <v>56</v>
      </c>
      <c r="W77" s="5" t="s">
        <v>48</v>
      </c>
      <c r="X77" s="41">
        <v>134.36909686103172</v>
      </c>
      <c r="Y77" s="16">
        <f t="shared" si="2"/>
        <v>7689.107462670705</v>
      </c>
      <c r="Z77" s="47">
        <f>(Table3[[#This Row],[Revenue generated]]-Table3[[#This Row],[Costs]])/Table3[[#This Row],[Revenue generated]]</f>
        <v>0.98282488662954792</v>
      </c>
      <c r="AA77" s="46" t="str">
        <f>IF(Table3[[#This Row],[Stock levels]]&lt;Table3[[#This Row],[Order quantities]]*0.2,"Critical",IF(Table3[[#This Row],[Stock levels]]&lt;Table3[[#This Row],[Order quantities]]*0.5,"low","Adquate"))</f>
        <v>Critical</v>
      </c>
      <c r="AB77" s="46" t="str">
        <f>IF( F77 &gt;=Calculations!$B$3,"High",
   IF(F77 &gt;=Calculations!$B$2,"Medium",
   "Low"))</f>
        <v>High</v>
      </c>
      <c r="AC77" s="46" t="str">
        <f>_xlfn.IFS(Table3[[#This Row],[Defect rates]] &lt; 0.02,"Excellent",Table3[[#This Row],[Defect rates]] &lt; 0.05,"Acceptable",Table3[[#This Row],[Defect rates]] &lt; 0.1,"Concerning",Table3[[#This Row],[Defect rates]] &gt; 0.1,"Critical")</f>
        <v>Excellent</v>
      </c>
      <c r="AD77" s="48">
        <f xml:space="preserve"> Table3[[#This Row],[order Lead times]]+Table3[[#This Row],[Manufacturing lead time]]</f>
        <v>39</v>
      </c>
      <c r="AE77" s="49">
        <f>Table3[[#This Row],[Shipping costs]]/Table3[[#This Row],[Number of products sold]]</f>
        <v>5.9704050814646206E-2</v>
      </c>
      <c r="AF77" s="48" t="str">
        <f>IF(AND(Table3[[#This Row],[Total Lead Time]]&gt;Calculations!$B$6,
        Table3[[#This Row],[Defect rates]]&gt;Calculations!$B$7),
   "Underperforming",
   IF(Table3[[#This Row],[Total Lead Time]]&gt;Calculations!$B$6,
      "Slow",
      IF(Table3[[#This Row],[Defect rates]]&gt;Calculations!$B$7,
         "Quality Issue",
         "Good")))</f>
        <v>Good</v>
      </c>
    </row>
    <row r="78" spans="1:32" x14ac:dyDescent="0.3">
      <c r="A78" s="2" t="s">
        <v>155</v>
      </c>
      <c r="B78" s="5" t="s">
        <v>84</v>
      </c>
      <c r="C78" s="15">
        <v>8.0228592105263932</v>
      </c>
      <c r="D78" s="6">
        <v>10</v>
      </c>
      <c r="E78" s="22">
        <v>327</v>
      </c>
      <c r="F78" s="29">
        <v>2766.3423668660889</v>
      </c>
      <c r="G78" s="5" t="s">
        <v>55</v>
      </c>
      <c r="H78" s="6">
        <v>60</v>
      </c>
      <c r="I78" s="6">
        <v>26</v>
      </c>
      <c r="J78" s="6">
        <v>35</v>
      </c>
      <c r="K78" s="6">
        <v>7</v>
      </c>
      <c r="L78" s="5" t="s">
        <v>27</v>
      </c>
      <c r="M78" s="29">
        <v>8.9545283153180151</v>
      </c>
      <c r="N78" s="5" t="s">
        <v>52</v>
      </c>
      <c r="O78" s="5" t="s">
        <v>45</v>
      </c>
      <c r="P78" s="6">
        <v>27</v>
      </c>
      <c r="Q78" s="6">
        <v>806</v>
      </c>
      <c r="R78" s="6">
        <v>30</v>
      </c>
      <c r="S78" s="29">
        <v>51.634893400109334</v>
      </c>
      <c r="T78" s="5" t="s">
        <v>30</v>
      </c>
      <c r="U78" s="36">
        <v>9.6539470535239313E-3</v>
      </c>
      <c r="V78" s="5" t="s">
        <v>31</v>
      </c>
      <c r="W78" s="5" t="s">
        <v>41</v>
      </c>
      <c r="X78" s="41">
        <v>880.08098824716103</v>
      </c>
      <c r="Y78" s="16">
        <f t="shared" si="2"/>
        <v>1886.2613786189279</v>
      </c>
      <c r="Z78" s="47">
        <f>(Table3[[#This Row],[Revenue generated]]-Table3[[#This Row],[Costs]])/Table3[[#This Row],[Revenue generated]]</f>
        <v>0.68186114676608889</v>
      </c>
      <c r="AA78" s="46" t="str">
        <f>IF(Table3[[#This Row],[Stock levels]]&lt;Table3[[#This Row],[Order quantities]]*0.2,"Critical",IF(Table3[[#This Row],[Stock levels]]&lt;Table3[[#This Row],[Order quantities]]*0.5,"low","Adquate"))</f>
        <v>Adquate</v>
      </c>
      <c r="AB78" s="46" t="str">
        <f>IF( F78 &gt;=Calculations!$B$3,"High",
   IF(F78 &gt;=Calculations!$B$2,"Medium",
   "Low"))</f>
        <v>Low</v>
      </c>
      <c r="AC78" s="46" t="str">
        <f>_xlfn.IFS(Table3[[#This Row],[Defect rates]] &lt; 0.02,"Excellent",Table3[[#This Row],[Defect rates]] &lt; 0.05,"Acceptable",Table3[[#This Row],[Defect rates]] &lt; 0.1,"Concerning",Table3[[#This Row],[Defect rates]] &gt; 0.1,"Critical")</f>
        <v>Excellent</v>
      </c>
      <c r="AD78" s="48">
        <f xml:space="preserve"> Table3[[#This Row],[order Lead times]]+Table3[[#This Row],[Manufacturing lead time]]</f>
        <v>56</v>
      </c>
      <c r="AE78" s="49">
        <f>Table3[[#This Row],[Shipping costs]]/Table3[[#This Row],[Number of products sold]]</f>
        <v>2.7383878640116256E-2</v>
      </c>
      <c r="AF78" s="48" t="str">
        <f>IF(AND(Table3[[#This Row],[Total Lead Time]]&gt;Calculations!$B$6,
        Table3[[#This Row],[Defect rates]]&gt;Calculations!$B$7),
   "Underperforming",
   IF(Table3[[#This Row],[Total Lead Time]]&gt;Calculations!$B$6,
      "Slow",
      IF(Table3[[#This Row],[Defect rates]]&gt;Calculations!$B$7,
         "Quality Issue",
         "Good")))</f>
        <v>Slow</v>
      </c>
    </row>
    <row r="79" spans="1:32" x14ac:dyDescent="0.3">
      <c r="A79" s="2" t="s">
        <v>157</v>
      </c>
      <c r="B79" s="5" t="s">
        <v>82</v>
      </c>
      <c r="C79" s="15">
        <v>2.3972747055971411</v>
      </c>
      <c r="D79" s="6">
        <v>12</v>
      </c>
      <c r="E79" s="22">
        <v>394</v>
      </c>
      <c r="F79" s="29">
        <v>6117.3246150839923</v>
      </c>
      <c r="G79" s="5" t="s">
        <v>35</v>
      </c>
      <c r="H79" s="6">
        <v>48</v>
      </c>
      <c r="I79" s="6">
        <v>15</v>
      </c>
      <c r="J79" s="6">
        <v>24</v>
      </c>
      <c r="K79" s="6">
        <v>4</v>
      </c>
      <c r="L79" s="5" t="s">
        <v>27</v>
      </c>
      <c r="M79" s="29">
        <v>9.898140508069222</v>
      </c>
      <c r="N79" s="5" t="s">
        <v>39</v>
      </c>
      <c r="O79" s="5" t="s">
        <v>29</v>
      </c>
      <c r="P79" s="6">
        <v>13</v>
      </c>
      <c r="Q79" s="6">
        <v>171</v>
      </c>
      <c r="R79" s="6">
        <v>7</v>
      </c>
      <c r="S79" s="29">
        <v>59.429381810691567</v>
      </c>
      <c r="T79" s="5" t="s">
        <v>46</v>
      </c>
      <c r="U79" s="36">
        <v>8.1575707929567205E-3</v>
      </c>
      <c r="V79" s="5" t="s">
        <v>40</v>
      </c>
      <c r="W79" s="5" t="s">
        <v>48</v>
      </c>
      <c r="X79" s="41">
        <v>123.43702751182708</v>
      </c>
      <c r="Y79" s="16">
        <f t="shared" si="2"/>
        <v>5993.8875875721651</v>
      </c>
      <c r="Z79" s="47">
        <f>(Table3[[#This Row],[Revenue generated]]-Table3[[#This Row],[Costs]])/Table3[[#This Row],[Revenue generated]]</f>
        <v>0.97982173004070139</v>
      </c>
      <c r="AA79" s="46" t="str">
        <f>IF(Table3[[#This Row],[Stock levels]]&lt;Table3[[#This Row],[Order quantities]]*0.2,"Critical",IF(Table3[[#This Row],[Stock levels]]&lt;Table3[[#This Row],[Order quantities]]*0.5,"low","Adquate"))</f>
        <v>Adquate</v>
      </c>
      <c r="AB79" s="46" t="str">
        <f>IF( F79 &gt;=Calculations!$B$3,"High",
   IF(F79 &gt;=Calculations!$B$2,"Medium",
   "Low"))</f>
        <v>Medium</v>
      </c>
      <c r="AC79" s="46" t="str">
        <f>_xlfn.IFS(Table3[[#This Row],[Defect rates]] &lt; 0.02,"Excellent",Table3[[#This Row],[Defect rates]] &lt; 0.05,"Acceptable",Table3[[#This Row],[Defect rates]] &lt; 0.1,"Concerning",Table3[[#This Row],[Defect rates]] &gt; 0.1,"Critical")</f>
        <v>Excellent</v>
      </c>
      <c r="AD79" s="48">
        <f xml:space="preserve"> Table3[[#This Row],[order Lead times]]+Table3[[#This Row],[Manufacturing lead time]]</f>
        <v>22</v>
      </c>
      <c r="AE79" s="49">
        <f>Table3[[#This Row],[Shipping costs]]/Table3[[#This Row],[Number of products sold]]</f>
        <v>2.5122184030632544E-2</v>
      </c>
      <c r="AF79" s="48" t="str">
        <f>IF(AND(Table3[[#This Row],[Total Lead Time]]&gt;Calculations!$B$6,
        Table3[[#This Row],[Defect rates]]&gt;Calculations!$B$7),
   "Underperforming",
   IF(Table3[[#This Row],[Total Lead Time]]&gt;Calculations!$B$6,
      "Slow",
      IF(Table3[[#This Row],[Defect rates]]&gt;Calculations!$B$7,
         "Quality Issue",
         "Good")))</f>
        <v>Good</v>
      </c>
    </row>
    <row r="80" spans="1:32" x14ac:dyDescent="0.3">
      <c r="A80" s="2" t="s">
        <v>156</v>
      </c>
      <c r="B80" s="3" t="s">
        <v>137</v>
      </c>
      <c r="C80" s="16">
        <v>68.911246211606326</v>
      </c>
      <c r="D80" s="4">
        <v>82</v>
      </c>
      <c r="E80" s="23">
        <v>663</v>
      </c>
      <c r="F80" s="28">
        <v>2411.754632110491</v>
      </c>
      <c r="G80" s="3" t="s">
        <v>38</v>
      </c>
      <c r="H80" s="4">
        <v>65</v>
      </c>
      <c r="I80" s="4">
        <v>24</v>
      </c>
      <c r="J80" s="4">
        <v>7</v>
      </c>
      <c r="K80" s="4">
        <v>8</v>
      </c>
      <c r="L80" s="3" t="s">
        <v>27</v>
      </c>
      <c r="M80" s="28">
        <v>4.9498395779969488</v>
      </c>
      <c r="N80" s="3" t="s">
        <v>39</v>
      </c>
      <c r="O80" s="3" t="s">
        <v>53</v>
      </c>
      <c r="P80" s="4">
        <v>20</v>
      </c>
      <c r="Q80" s="4">
        <v>443</v>
      </c>
      <c r="R80" s="4">
        <v>5</v>
      </c>
      <c r="S80" s="28">
        <v>97.730593800533043</v>
      </c>
      <c r="T80" s="3" t="s">
        <v>46</v>
      </c>
      <c r="U80" s="35">
        <v>7.730061340672478E-3</v>
      </c>
      <c r="V80" s="3" t="s">
        <v>31</v>
      </c>
      <c r="W80" s="3" t="s">
        <v>48</v>
      </c>
      <c r="X80" s="40">
        <v>682.97101822609329</v>
      </c>
      <c r="Y80" s="16">
        <f t="shared" si="2"/>
        <v>1728.7836138843977</v>
      </c>
      <c r="Z80" s="47">
        <f>(Table3[[#This Row],[Revenue generated]]-Table3[[#This Row],[Costs]])/Table3[[#This Row],[Revenue generated]]</f>
        <v>0.7168157120409735</v>
      </c>
      <c r="AA80" s="46" t="str">
        <f>IF(Table3[[#This Row],[Stock levels]]&lt;Table3[[#This Row],[Order quantities]]*0.2,"Critical",IF(Table3[[#This Row],[Stock levels]]&lt;Table3[[#This Row],[Order quantities]]*0.5,"low","Adquate"))</f>
        <v>Adquate</v>
      </c>
      <c r="AB80" s="46" t="str">
        <f>IF( F80 &gt;=Calculations!$B$3,"High",
   IF(F80 &gt;=Calculations!$B$2,"Medium",
   "Low"))</f>
        <v>Low</v>
      </c>
      <c r="AC80" s="46" t="str">
        <f>_xlfn.IFS(Table3[[#This Row],[Defect rates]] &lt; 0.02,"Excellent",Table3[[#This Row],[Defect rates]] &lt; 0.05,"Acceptable",Table3[[#This Row],[Defect rates]] &lt; 0.1,"Concerning",Table3[[#This Row],[Defect rates]] &gt; 0.1,"Critical")</f>
        <v>Excellent</v>
      </c>
      <c r="AD80" s="48">
        <f xml:space="preserve"> Table3[[#This Row],[order Lead times]]+Table3[[#This Row],[Manufacturing lead time]]</f>
        <v>29</v>
      </c>
      <c r="AE80" s="49">
        <f>Table3[[#This Row],[Shipping costs]]/Table3[[#This Row],[Number of products sold]]</f>
        <v>7.4658213846107825E-3</v>
      </c>
      <c r="AF80" s="48" t="str">
        <f>IF(AND(Table3[[#This Row],[Total Lead Time]]&gt;Calculations!$B$6,
        Table3[[#This Row],[Defect rates]]&gt;Calculations!$B$7),
   "Underperforming",
   IF(Table3[[#This Row],[Total Lead Time]]&gt;Calculations!$B$6,
      "Slow",
      IF(Table3[[#This Row],[Defect rates]]&gt;Calculations!$B$7,
         "Quality Issue",
         "Good")))</f>
        <v>Good</v>
      </c>
    </row>
    <row r="81" spans="1:32" x14ac:dyDescent="0.3">
      <c r="A81" s="2" t="s">
        <v>157</v>
      </c>
      <c r="B81" s="5" t="s">
        <v>142</v>
      </c>
      <c r="C81" s="15">
        <v>75.27040697572501</v>
      </c>
      <c r="D81" s="6">
        <v>58</v>
      </c>
      <c r="E81" s="22">
        <v>737</v>
      </c>
      <c r="F81" s="29">
        <v>9444.7420330629793</v>
      </c>
      <c r="G81" s="5" t="s">
        <v>55</v>
      </c>
      <c r="H81" s="6">
        <v>60</v>
      </c>
      <c r="I81" s="6">
        <v>18</v>
      </c>
      <c r="J81" s="6">
        <v>85</v>
      </c>
      <c r="K81" s="6">
        <v>7</v>
      </c>
      <c r="L81" s="5" t="s">
        <v>36</v>
      </c>
      <c r="M81" s="29">
        <v>3.8012531329310777</v>
      </c>
      <c r="N81" s="5" t="s">
        <v>61</v>
      </c>
      <c r="O81" s="5" t="s">
        <v>29</v>
      </c>
      <c r="P81" s="6">
        <v>21</v>
      </c>
      <c r="Q81" s="6">
        <v>953</v>
      </c>
      <c r="R81" s="6">
        <v>11</v>
      </c>
      <c r="S81" s="29">
        <v>68.184919057041171</v>
      </c>
      <c r="T81" s="5" t="s">
        <v>30</v>
      </c>
      <c r="U81" s="36">
        <v>7.22204401882931E-3</v>
      </c>
      <c r="V81" s="5" t="s">
        <v>56</v>
      </c>
      <c r="W81" s="5" t="s">
        <v>48</v>
      </c>
      <c r="X81" s="41">
        <v>103.91624796070495</v>
      </c>
      <c r="Y81" s="16">
        <f t="shared" si="2"/>
        <v>9340.8257851022736</v>
      </c>
      <c r="Z81" s="47">
        <f>(Table3[[#This Row],[Revenue generated]]-Table3[[#This Row],[Costs]])/Table3[[#This Row],[Revenue generated]]</f>
        <v>0.98899744984067017</v>
      </c>
      <c r="AA81" s="46" t="str">
        <f>IF(Table3[[#This Row],[Stock levels]]&lt;Table3[[#This Row],[Order quantities]]*0.2,"Critical",IF(Table3[[#This Row],[Stock levels]]&lt;Table3[[#This Row],[Order quantities]]*0.5,"low","Adquate"))</f>
        <v>Adquate</v>
      </c>
      <c r="AB81" s="46" t="str">
        <f>IF( F81 &gt;=Calculations!$B$3,"High",
   IF(F81 &gt;=Calculations!$B$2,"Medium",
   "Low"))</f>
        <v>High</v>
      </c>
      <c r="AC81" s="46" t="str">
        <f>_xlfn.IFS(Table3[[#This Row],[Defect rates]] &lt; 0.02,"Excellent",Table3[[#This Row],[Defect rates]] &lt; 0.05,"Acceptable",Table3[[#This Row],[Defect rates]] &lt; 0.1,"Concerning",Table3[[#This Row],[Defect rates]] &gt; 0.1,"Critical")</f>
        <v>Excellent</v>
      </c>
      <c r="AD81" s="48">
        <f xml:space="preserve"> Table3[[#This Row],[order Lead times]]+Table3[[#This Row],[Manufacturing lead time]]</f>
        <v>29</v>
      </c>
      <c r="AE81" s="49">
        <f>Table3[[#This Row],[Shipping costs]]/Table3[[#This Row],[Number of products sold]]</f>
        <v>5.1577383079119098E-3</v>
      </c>
      <c r="AF81" s="48" t="str">
        <f>IF(AND(Table3[[#This Row],[Total Lead Time]]&gt;Calculations!$B$6,
        Table3[[#This Row],[Defect rates]]&gt;Calculations!$B$7),
   "Underperforming",
   IF(Table3[[#This Row],[Total Lead Time]]&gt;Calculations!$B$6,
      "Slow",
      IF(Table3[[#This Row],[Defect rates]]&gt;Calculations!$B$7,
         "Quality Issue",
         "Good")))</f>
        <v>Good</v>
      </c>
    </row>
    <row r="82" spans="1:32" x14ac:dyDescent="0.3">
      <c r="A82" s="2" t="s">
        <v>157</v>
      </c>
      <c r="B82" s="5" t="s">
        <v>88</v>
      </c>
      <c r="C82" s="15">
        <v>37.467592329842461</v>
      </c>
      <c r="D82" s="6">
        <v>96</v>
      </c>
      <c r="E82" s="22">
        <v>602</v>
      </c>
      <c r="F82" s="29">
        <v>9061.7108955077238</v>
      </c>
      <c r="G82" s="5" t="s">
        <v>38</v>
      </c>
      <c r="H82" s="6">
        <v>1</v>
      </c>
      <c r="I82" s="6">
        <v>26</v>
      </c>
      <c r="J82" s="6">
        <v>21</v>
      </c>
      <c r="K82" s="6">
        <v>7</v>
      </c>
      <c r="L82" s="5" t="s">
        <v>36</v>
      </c>
      <c r="M82" s="29">
        <v>1.0194875708221189</v>
      </c>
      <c r="N82" s="5" t="s">
        <v>39</v>
      </c>
      <c r="O82" s="5" t="s">
        <v>62</v>
      </c>
      <c r="P82" s="6">
        <v>4</v>
      </c>
      <c r="Q82" s="6">
        <v>452</v>
      </c>
      <c r="R82" s="6">
        <v>10</v>
      </c>
      <c r="S82" s="29">
        <v>10.754272815029333</v>
      </c>
      <c r="T82" s="5" t="s">
        <v>64</v>
      </c>
      <c r="U82" s="36">
        <v>6.4660455937205485E-3</v>
      </c>
      <c r="V82" s="5" t="s">
        <v>31</v>
      </c>
      <c r="W82" s="5" t="s">
        <v>32</v>
      </c>
      <c r="X82" s="41">
        <v>510.3580004335235</v>
      </c>
      <c r="Y82" s="16">
        <f t="shared" si="2"/>
        <v>8551.3528950742002</v>
      </c>
      <c r="Z82" s="47">
        <f>(Table3[[#This Row],[Revenue generated]]-Table3[[#This Row],[Costs]])/Table3[[#This Row],[Revenue generated]]</f>
        <v>0.94367973042634479</v>
      </c>
      <c r="AA82" s="46" t="str">
        <f>IF(Table3[[#This Row],[Stock levels]]&lt;Table3[[#This Row],[Order quantities]]*0.2,"Critical",IF(Table3[[#This Row],[Stock levels]]&lt;Table3[[#This Row],[Order quantities]]*0.5,"low","Adquate"))</f>
        <v>Critical</v>
      </c>
      <c r="AB82" s="46" t="str">
        <f>IF( F82 &gt;=Calculations!$B$3,"High",
   IF(F82 &gt;=Calculations!$B$2,"Medium",
   "Low"))</f>
        <v>High</v>
      </c>
      <c r="AC82" s="46" t="str">
        <f>_xlfn.IFS(Table3[[#This Row],[Defect rates]] &lt; 0.02,"Excellent",Table3[[#This Row],[Defect rates]] &lt; 0.05,"Acceptable",Table3[[#This Row],[Defect rates]] &lt; 0.1,"Concerning",Table3[[#This Row],[Defect rates]] &gt; 0.1,"Critical")</f>
        <v>Excellent</v>
      </c>
      <c r="AD82" s="48">
        <f xml:space="preserve"> Table3[[#This Row],[order Lead times]]+Table3[[#This Row],[Manufacturing lead time]]</f>
        <v>36</v>
      </c>
      <c r="AE82" s="49">
        <f>Table3[[#This Row],[Shipping costs]]/Table3[[#This Row],[Number of products sold]]</f>
        <v>1.6935009482095E-3</v>
      </c>
      <c r="AF82" s="48" t="str">
        <f>IF(AND(Table3[[#This Row],[Total Lead Time]]&gt;Calculations!$B$6,
        Table3[[#This Row],[Defect rates]]&gt;Calculations!$B$7),
   "Underperforming",
   IF(Table3[[#This Row],[Total Lead Time]]&gt;Calculations!$B$6,
      "Slow",
      IF(Table3[[#This Row],[Defect rates]]&gt;Calculations!$B$7,
         "Quality Issue",
         "Good")))</f>
        <v>Good</v>
      </c>
    </row>
    <row r="83" spans="1:32" x14ac:dyDescent="0.3">
      <c r="A83" s="2" t="s">
        <v>157</v>
      </c>
      <c r="B83" s="3" t="s">
        <v>145</v>
      </c>
      <c r="C83" s="16">
        <v>62.111965463961788</v>
      </c>
      <c r="D83" s="4">
        <v>90</v>
      </c>
      <c r="E83" s="23">
        <v>916</v>
      </c>
      <c r="F83" s="28">
        <v>1935.2067935076</v>
      </c>
      <c r="G83" s="3" t="s">
        <v>55</v>
      </c>
      <c r="H83" s="4">
        <v>98</v>
      </c>
      <c r="I83" s="4">
        <v>22</v>
      </c>
      <c r="J83" s="4">
        <v>85</v>
      </c>
      <c r="K83" s="4">
        <v>7</v>
      </c>
      <c r="L83" s="3" t="s">
        <v>27</v>
      </c>
      <c r="M83" s="28">
        <v>7.4715140844011456</v>
      </c>
      <c r="N83" s="3" t="s">
        <v>52</v>
      </c>
      <c r="O83" s="3" t="s">
        <v>50</v>
      </c>
      <c r="P83" s="4">
        <v>5</v>
      </c>
      <c r="Q83" s="4">
        <v>207</v>
      </c>
      <c r="R83" s="4">
        <v>28</v>
      </c>
      <c r="S83" s="28">
        <v>39.772882502339975</v>
      </c>
      <c r="T83" s="3" t="s">
        <v>30</v>
      </c>
      <c r="U83" s="35">
        <v>6.260018582093946E-3</v>
      </c>
      <c r="V83" s="3" t="s">
        <v>47</v>
      </c>
      <c r="W83" s="3" t="s">
        <v>32</v>
      </c>
      <c r="X83" s="40">
        <v>996.77831495062378</v>
      </c>
      <c r="Y83" s="16">
        <f t="shared" si="2"/>
        <v>938.42847855697619</v>
      </c>
      <c r="Z83" s="47">
        <f>(Table3[[#This Row],[Revenue generated]]-Table3[[#This Row],[Costs]])/Table3[[#This Row],[Revenue generated]]</f>
        <v>0.48492413405394075</v>
      </c>
      <c r="AA83" s="46" t="str">
        <f>IF(Table3[[#This Row],[Stock levels]]&lt;Table3[[#This Row],[Order quantities]]*0.2,"Critical",IF(Table3[[#This Row],[Stock levels]]&lt;Table3[[#This Row],[Order quantities]]*0.5,"low","Adquate"))</f>
        <v>Adquate</v>
      </c>
      <c r="AB83" s="46" t="str">
        <f>IF( F83 &gt;=Calculations!$B$3,"High",
   IF(F83 &gt;=Calculations!$B$2,"Medium",
   "Low"))</f>
        <v>Low</v>
      </c>
      <c r="AC83" s="46" t="str">
        <f>_xlfn.IFS(Table3[[#This Row],[Defect rates]] &lt; 0.02,"Excellent",Table3[[#This Row],[Defect rates]] &lt; 0.05,"Acceptable",Table3[[#This Row],[Defect rates]] &lt; 0.1,"Concerning",Table3[[#This Row],[Defect rates]] &gt; 0.1,"Critical")</f>
        <v>Excellent</v>
      </c>
      <c r="AD83" s="48">
        <f xml:space="preserve"> Table3[[#This Row],[order Lead times]]+Table3[[#This Row],[Manufacturing lead time]]</f>
        <v>50</v>
      </c>
      <c r="AE83" s="49">
        <f>Table3[[#This Row],[Shipping costs]]/Table3[[#This Row],[Number of products sold]]</f>
        <v>8.156674764630072E-3</v>
      </c>
      <c r="AF83" s="48" t="str">
        <f>IF(AND(Table3[[#This Row],[Total Lead Time]]&gt;Calculations!$B$6,
        Table3[[#This Row],[Defect rates]]&gt;Calculations!$B$7),
   "Underperforming",
   IF(Table3[[#This Row],[Total Lead Time]]&gt;Calculations!$B$6,
      "Slow",
      IF(Table3[[#This Row],[Defect rates]]&gt;Calculations!$B$7,
         "Quality Issue",
         "Good")))</f>
        <v>Slow</v>
      </c>
    </row>
    <row r="84" spans="1:32" x14ac:dyDescent="0.3">
      <c r="A84" s="2" t="s">
        <v>155</v>
      </c>
      <c r="B84" s="5" t="s">
        <v>92</v>
      </c>
      <c r="C84" s="15">
        <v>52.075930682707799</v>
      </c>
      <c r="D84" s="6">
        <v>75</v>
      </c>
      <c r="E84" s="22">
        <v>705</v>
      </c>
      <c r="F84" s="29">
        <v>9692.3180402184316</v>
      </c>
      <c r="G84" s="5" t="s">
        <v>26</v>
      </c>
      <c r="H84" s="6">
        <v>69</v>
      </c>
      <c r="I84" s="6">
        <v>1</v>
      </c>
      <c r="J84" s="6">
        <v>88</v>
      </c>
      <c r="K84" s="6">
        <v>5</v>
      </c>
      <c r="L84" s="5" t="s">
        <v>27</v>
      </c>
      <c r="M84" s="29">
        <v>9.2359314372492278</v>
      </c>
      <c r="N84" s="5" t="s">
        <v>44</v>
      </c>
      <c r="O84" s="5" t="s">
        <v>29</v>
      </c>
      <c r="P84" s="6">
        <v>10</v>
      </c>
      <c r="Q84" s="6">
        <v>841</v>
      </c>
      <c r="R84" s="6">
        <v>12</v>
      </c>
      <c r="S84" s="29">
        <v>5.9306936455283177</v>
      </c>
      <c r="T84" s="5" t="s">
        <v>30</v>
      </c>
      <c r="U84" s="36">
        <v>6.1332689916450741E-3</v>
      </c>
      <c r="V84" s="5" t="s">
        <v>40</v>
      </c>
      <c r="W84" s="5" t="s">
        <v>32</v>
      </c>
      <c r="X84" s="41">
        <v>339.67286994860615</v>
      </c>
      <c r="Y84" s="16">
        <f t="shared" si="2"/>
        <v>9352.645170269825</v>
      </c>
      <c r="Z84" s="47">
        <f>(Table3[[#This Row],[Revenue generated]]-Table3[[#This Row],[Costs]])/Table3[[#This Row],[Revenue generated]]</f>
        <v>0.96495442384998831</v>
      </c>
      <c r="AA84" s="46" t="str">
        <f>IF(Table3[[#This Row],[Stock levels]]&lt;Table3[[#This Row],[Order quantities]]*0.2,"Critical",IF(Table3[[#This Row],[Stock levels]]&lt;Table3[[#This Row],[Order quantities]]*0.5,"low","Adquate"))</f>
        <v>Adquate</v>
      </c>
      <c r="AB84" s="46" t="str">
        <f>IF( F84 &gt;=Calculations!$B$3,"High",
   IF(F84 &gt;=Calculations!$B$2,"Medium",
   "Low"))</f>
        <v>High</v>
      </c>
      <c r="AC84" s="46" t="str">
        <f>_xlfn.IFS(Table3[[#This Row],[Defect rates]] &lt; 0.02,"Excellent",Table3[[#This Row],[Defect rates]] &lt; 0.05,"Acceptable",Table3[[#This Row],[Defect rates]] &lt; 0.1,"Concerning",Table3[[#This Row],[Defect rates]] &gt; 0.1,"Critical")</f>
        <v>Excellent</v>
      </c>
      <c r="AD84" s="48">
        <f xml:space="preserve"> Table3[[#This Row],[order Lead times]]+Table3[[#This Row],[Manufacturing lead time]]</f>
        <v>13</v>
      </c>
      <c r="AE84" s="49">
        <f>Table3[[#This Row],[Shipping costs]]/Table3[[#This Row],[Number of products sold]]</f>
        <v>1.3100611967729402E-2</v>
      </c>
      <c r="AF84" s="48" t="str">
        <f>IF(AND(Table3[[#This Row],[Total Lead Time]]&gt;Calculations!$B$6,
        Table3[[#This Row],[Defect rates]]&gt;Calculations!$B$7),
   "Underperforming",
   IF(Table3[[#This Row],[Total Lead Time]]&gt;Calculations!$B$6,
      "Slow",
      IF(Table3[[#This Row],[Defect rates]]&gt;Calculations!$B$7,
         "Quality Issue",
         "Good")))</f>
        <v>Good</v>
      </c>
    </row>
    <row r="85" spans="1:32" x14ac:dyDescent="0.3">
      <c r="A85" s="2" t="s">
        <v>155</v>
      </c>
      <c r="B85" s="3" t="s">
        <v>89</v>
      </c>
      <c r="C85" s="16">
        <v>84.957786816350435</v>
      </c>
      <c r="D85" s="4">
        <v>11</v>
      </c>
      <c r="E85" s="23">
        <v>449</v>
      </c>
      <c r="F85" s="28">
        <v>6541.3293448024651</v>
      </c>
      <c r="G85" s="3" t="s">
        <v>35</v>
      </c>
      <c r="H85" s="4">
        <v>42</v>
      </c>
      <c r="I85" s="4">
        <v>27</v>
      </c>
      <c r="J85" s="4">
        <v>85</v>
      </c>
      <c r="K85" s="4">
        <v>8</v>
      </c>
      <c r="L85" s="3" t="s">
        <v>43</v>
      </c>
      <c r="M85" s="28">
        <v>5.2881899903274094</v>
      </c>
      <c r="N85" s="3" t="s">
        <v>39</v>
      </c>
      <c r="O85" s="3" t="s">
        <v>50</v>
      </c>
      <c r="P85" s="4">
        <v>3</v>
      </c>
      <c r="Q85" s="4">
        <v>367</v>
      </c>
      <c r="R85" s="4">
        <v>2</v>
      </c>
      <c r="S85" s="28">
        <v>58.004787044743765</v>
      </c>
      <c r="T85" s="3" t="s">
        <v>64</v>
      </c>
      <c r="U85" s="35">
        <v>5.4115409806058112E-3</v>
      </c>
      <c r="V85" s="3" t="s">
        <v>56</v>
      </c>
      <c r="W85" s="3" t="s">
        <v>41</v>
      </c>
      <c r="X85" s="40">
        <v>553.42047123035582</v>
      </c>
      <c r="Y85" s="16">
        <f t="shared" si="2"/>
        <v>5987.9088735721089</v>
      </c>
      <c r="Z85" s="47">
        <f>(Table3[[#This Row],[Revenue generated]]-Table3[[#This Row],[Costs]])/Table3[[#This Row],[Revenue generated]]</f>
        <v>0.9153963296970995</v>
      </c>
      <c r="AA85" s="46" t="str">
        <f>IF(Table3[[#This Row],[Stock levels]]&lt;Table3[[#This Row],[Order quantities]]*0.2,"Critical",IF(Table3[[#This Row],[Stock levels]]&lt;Table3[[#This Row],[Order quantities]]*0.5,"low","Adquate"))</f>
        <v>low</v>
      </c>
      <c r="AB85" s="46" t="str">
        <f>IF( F85 &gt;=Calculations!$B$3,"High",
   IF(F85 &gt;=Calculations!$B$2,"Medium",
   "Low"))</f>
        <v>Medium</v>
      </c>
      <c r="AC85" s="46" t="str">
        <f>_xlfn.IFS(Table3[[#This Row],[Defect rates]] &lt; 0.02,"Excellent",Table3[[#This Row],[Defect rates]] &lt; 0.05,"Acceptable",Table3[[#This Row],[Defect rates]] &lt; 0.1,"Concerning",Table3[[#This Row],[Defect rates]] &gt; 0.1,"Critical")</f>
        <v>Excellent</v>
      </c>
      <c r="AD85" s="48">
        <f xml:space="preserve"> Table3[[#This Row],[order Lead times]]+Table3[[#This Row],[Manufacturing lead time]]</f>
        <v>29</v>
      </c>
      <c r="AE85" s="49">
        <f>Table3[[#This Row],[Shipping costs]]/Table3[[#This Row],[Number of products sold]]</f>
        <v>1.1777705991820511E-2</v>
      </c>
      <c r="AF85" s="48" t="str">
        <f>IF(AND(Table3[[#This Row],[Total Lead Time]]&gt;Calculations!$B$6,
        Table3[[#This Row],[Defect rates]]&gt;Calculations!$B$7),
   "Underperforming",
   IF(Table3[[#This Row],[Total Lead Time]]&gt;Calculations!$B$6,
      "Slow",
      IF(Table3[[#This Row],[Defect rates]]&gt;Calculations!$B$7,
         "Quality Issue",
         "Good")))</f>
        <v>Good</v>
      </c>
    </row>
    <row r="86" spans="1:32" x14ac:dyDescent="0.3">
      <c r="A86" s="2" t="s">
        <v>155</v>
      </c>
      <c r="B86" s="3" t="s">
        <v>113</v>
      </c>
      <c r="C86" s="16">
        <v>63.828398347710966</v>
      </c>
      <c r="D86" s="4">
        <v>30</v>
      </c>
      <c r="E86" s="23">
        <v>484</v>
      </c>
      <c r="F86" s="28">
        <v>1061.618523013288</v>
      </c>
      <c r="G86" s="3" t="s">
        <v>26</v>
      </c>
      <c r="H86" s="4">
        <v>100</v>
      </c>
      <c r="I86" s="4">
        <v>16</v>
      </c>
      <c r="J86" s="4">
        <v>26</v>
      </c>
      <c r="K86" s="4">
        <v>7</v>
      </c>
      <c r="L86" s="3" t="s">
        <v>27</v>
      </c>
      <c r="M86" s="28">
        <v>7.2937225968677284</v>
      </c>
      <c r="N86" s="3" t="s">
        <v>39</v>
      </c>
      <c r="O86" s="3" t="s">
        <v>45</v>
      </c>
      <c r="P86" s="4">
        <v>11</v>
      </c>
      <c r="Q86" s="4">
        <v>176</v>
      </c>
      <c r="R86" s="4">
        <v>4</v>
      </c>
      <c r="S86" s="28">
        <v>1.900762243519458</v>
      </c>
      <c r="T86" s="3" t="s">
        <v>46</v>
      </c>
      <c r="U86" s="35">
        <v>4.4719401546382317E-3</v>
      </c>
      <c r="V86" s="3" t="s">
        <v>40</v>
      </c>
      <c r="W86" s="3" t="s">
        <v>48</v>
      </c>
      <c r="X86" s="40">
        <v>312.57427361009331</v>
      </c>
      <c r="Y86" s="16">
        <f t="shared" si="2"/>
        <v>749.04424940319473</v>
      </c>
      <c r="Z86" s="47">
        <f>(Table3[[#This Row],[Revenue generated]]-Table3[[#This Row],[Costs]])/Table3[[#This Row],[Revenue generated]]</f>
        <v>0.70556818025095736</v>
      </c>
      <c r="AA86" s="46" t="str">
        <f>IF(Table3[[#This Row],[Stock levels]]&lt;Table3[[#This Row],[Order quantities]]*0.2,"Critical",IF(Table3[[#This Row],[Stock levels]]&lt;Table3[[#This Row],[Order quantities]]*0.5,"low","Adquate"))</f>
        <v>Adquate</v>
      </c>
      <c r="AB86" s="46" t="str">
        <f>IF( F86 &gt;=Calculations!$B$3,"High",
   IF(F86 &gt;=Calculations!$B$2,"Medium",
   "Low"))</f>
        <v>Low</v>
      </c>
      <c r="AC86" s="46" t="str">
        <f>_xlfn.IFS(Table3[[#This Row],[Defect rates]] &lt; 0.02,"Excellent",Table3[[#This Row],[Defect rates]] &lt; 0.05,"Acceptable",Table3[[#This Row],[Defect rates]] &lt; 0.1,"Concerning",Table3[[#This Row],[Defect rates]] &gt; 0.1,"Critical")</f>
        <v>Excellent</v>
      </c>
      <c r="AD86" s="48">
        <f xml:space="preserve"> Table3[[#This Row],[order Lead times]]+Table3[[#This Row],[Manufacturing lead time]]</f>
        <v>20</v>
      </c>
      <c r="AE86" s="49">
        <f>Table3[[#This Row],[Shipping costs]]/Table3[[#This Row],[Number of products sold]]</f>
        <v>1.5069674786916794E-2</v>
      </c>
      <c r="AF86" s="48" t="str">
        <f>IF(AND(Table3[[#This Row],[Total Lead Time]]&gt;Calculations!$B$6,
        Table3[[#This Row],[Defect rates]]&gt;Calculations!$B$7),
   "Underperforming",
   IF(Table3[[#This Row],[Total Lead Time]]&gt;Calculations!$B$6,
      "Slow",
      IF(Table3[[#This Row],[Defect rates]]&gt;Calculations!$B$7,
         "Quality Issue",
         "Good")))</f>
        <v>Good</v>
      </c>
    </row>
    <row r="87" spans="1:32" x14ac:dyDescent="0.3">
      <c r="A87" s="2" t="s">
        <v>157</v>
      </c>
      <c r="B87" s="3" t="s">
        <v>58</v>
      </c>
      <c r="C87" s="16">
        <v>42.958384382460068</v>
      </c>
      <c r="D87" s="4">
        <v>59</v>
      </c>
      <c r="E87" s="23">
        <v>426</v>
      </c>
      <c r="F87" s="28">
        <v>8496.1038130898378</v>
      </c>
      <c r="G87" s="3" t="s">
        <v>35</v>
      </c>
      <c r="H87" s="4">
        <v>93</v>
      </c>
      <c r="I87" s="4">
        <v>17</v>
      </c>
      <c r="J87" s="4">
        <v>11</v>
      </c>
      <c r="K87" s="4">
        <v>1</v>
      </c>
      <c r="L87" s="3" t="s">
        <v>27</v>
      </c>
      <c r="M87" s="28">
        <v>2.3483387844177805</v>
      </c>
      <c r="N87" s="3" t="s">
        <v>52</v>
      </c>
      <c r="O87" s="3" t="s">
        <v>53</v>
      </c>
      <c r="P87" s="4">
        <v>22</v>
      </c>
      <c r="Q87" s="4">
        <v>564</v>
      </c>
      <c r="R87" s="4">
        <v>1</v>
      </c>
      <c r="S87" s="28">
        <v>99.466108603599125</v>
      </c>
      <c r="T87" s="3" t="s">
        <v>46</v>
      </c>
      <c r="U87" s="35">
        <v>3.9817718685065066E-3</v>
      </c>
      <c r="V87" s="3" t="s">
        <v>31</v>
      </c>
      <c r="W87" s="3" t="s">
        <v>41</v>
      </c>
      <c r="X87" s="40">
        <v>802.05631181755859</v>
      </c>
      <c r="Y87" s="16">
        <f t="shared" si="2"/>
        <v>7694.0475012722791</v>
      </c>
      <c r="Z87" s="47">
        <f>(Table3[[#This Row],[Revenue generated]]-Table3[[#This Row],[Costs]])/Table3[[#This Row],[Revenue generated]]</f>
        <v>0.90559716200950358</v>
      </c>
      <c r="AA87" s="46" t="str">
        <f>IF(Table3[[#This Row],[Stock levels]]&lt;Table3[[#This Row],[Order quantities]]*0.2,"Critical",IF(Table3[[#This Row],[Stock levels]]&lt;Table3[[#This Row],[Order quantities]]*0.5,"low","Adquate"))</f>
        <v>Adquate</v>
      </c>
      <c r="AB87" s="46" t="str">
        <f>IF( F87 &gt;=Calculations!$B$3,"High",
   IF(F87 &gt;=Calculations!$B$2,"Medium",
   "Low"))</f>
        <v>High</v>
      </c>
      <c r="AC87" s="46" t="str">
        <f>_xlfn.IFS(Table3[[#This Row],[Defect rates]] &lt; 0.02,"Excellent",Table3[[#This Row],[Defect rates]] &lt; 0.05,"Acceptable",Table3[[#This Row],[Defect rates]] &lt; 0.1,"Concerning",Table3[[#This Row],[Defect rates]] &gt; 0.1,"Critical")</f>
        <v>Excellent</v>
      </c>
      <c r="AD87" s="48">
        <f xml:space="preserve"> Table3[[#This Row],[order Lead times]]+Table3[[#This Row],[Manufacturing lead time]]</f>
        <v>18</v>
      </c>
      <c r="AE87" s="49">
        <f>Table3[[#This Row],[Shipping costs]]/Table3[[#This Row],[Number of products sold]]</f>
        <v>5.5125323577882171E-3</v>
      </c>
      <c r="AF87" s="48" t="str">
        <f>IF(AND(Table3[[#This Row],[Total Lead Time]]&gt;Calculations!$B$6,
        Table3[[#This Row],[Defect rates]]&gt;Calculations!$B$7),
   "Underperforming",
   IF(Table3[[#This Row],[Total Lead Time]]&gt;Calculations!$B$6,
      "Slow",
      IF(Table3[[#This Row],[Defect rates]]&gt;Calculations!$B$7,
         "Quality Issue",
         "Good")))</f>
        <v>Good</v>
      </c>
    </row>
    <row r="88" spans="1:32" x14ac:dyDescent="0.3">
      <c r="A88" s="2" t="s">
        <v>155</v>
      </c>
      <c r="B88" s="5" t="s">
        <v>128</v>
      </c>
      <c r="C88" s="15">
        <v>3.1700114135661548</v>
      </c>
      <c r="D88" s="6">
        <v>64</v>
      </c>
      <c r="E88" s="22">
        <v>904</v>
      </c>
      <c r="F88" s="29">
        <v>5709.9452959692871</v>
      </c>
      <c r="G88" s="5" t="s">
        <v>35</v>
      </c>
      <c r="H88" s="6">
        <v>41</v>
      </c>
      <c r="I88" s="6">
        <v>6</v>
      </c>
      <c r="J88" s="6">
        <v>1</v>
      </c>
      <c r="K88" s="6">
        <v>5</v>
      </c>
      <c r="L88" s="5" t="s">
        <v>36</v>
      </c>
      <c r="M88" s="29">
        <v>5.2376546500374479</v>
      </c>
      <c r="N88" s="5" t="s">
        <v>52</v>
      </c>
      <c r="O88" s="5" t="s">
        <v>50</v>
      </c>
      <c r="P88" s="6">
        <v>1</v>
      </c>
      <c r="Q88" s="6">
        <v>919</v>
      </c>
      <c r="R88" s="6">
        <v>9</v>
      </c>
      <c r="S88" s="29">
        <v>80.580852156447818</v>
      </c>
      <c r="T88" s="5" t="s">
        <v>46</v>
      </c>
      <c r="U88" s="36">
        <v>3.9661272410993539E-3</v>
      </c>
      <c r="V88" s="5" t="s">
        <v>47</v>
      </c>
      <c r="W88" s="5" t="s">
        <v>48</v>
      </c>
      <c r="X88" s="41">
        <v>341.55265678322337</v>
      </c>
      <c r="Y88" s="16">
        <f t="shared" si="2"/>
        <v>5368.3926391860641</v>
      </c>
      <c r="Z88" s="47">
        <f>(Table3[[#This Row],[Revenue generated]]-Table3[[#This Row],[Costs]])/Table3[[#This Row],[Revenue generated]]</f>
        <v>0.9401828495582385</v>
      </c>
      <c r="AA88" s="46" t="str">
        <f>IF(Table3[[#This Row],[Stock levels]]&lt;Table3[[#This Row],[Order quantities]]*0.2,"Critical",IF(Table3[[#This Row],[Stock levels]]&lt;Table3[[#This Row],[Order quantities]]*0.5,"low","Adquate"))</f>
        <v>Adquate</v>
      </c>
      <c r="AB88" s="46" t="str">
        <f>IF( F88 &gt;=Calculations!$B$3,"High",
   IF(F88 &gt;=Calculations!$B$2,"Medium",
   "Low"))</f>
        <v>Medium</v>
      </c>
      <c r="AC88" s="46" t="str">
        <f>_xlfn.IFS(Table3[[#This Row],[Defect rates]] &lt; 0.02,"Excellent",Table3[[#This Row],[Defect rates]] &lt; 0.05,"Acceptable",Table3[[#This Row],[Defect rates]] &lt; 0.1,"Concerning",Table3[[#This Row],[Defect rates]] &gt; 0.1,"Critical")</f>
        <v>Excellent</v>
      </c>
      <c r="AD88" s="48">
        <f xml:space="preserve"> Table3[[#This Row],[order Lead times]]+Table3[[#This Row],[Manufacturing lead time]]</f>
        <v>15</v>
      </c>
      <c r="AE88" s="49">
        <f>Table3[[#This Row],[Shipping costs]]/Table3[[#This Row],[Number of products sold]]</f>
        <v>5.7938657633157609E-3</v>
      </c>
      <c r="AF88" s="48" t="str">
        <f>IF(AND(Table3[[#This Row],[Total Lead Time]]&gt;Calculations!$B$6,
        Table3[[#This Row],[Defect rates]]&gt;Calculations!$B$7),
   "Underperforming",
   IF(Table3[[#This Row],[Total Lead Time]]&gt;Calculations!$B$6,
      "Slow",
      IF(Table3[[#This Row],[Defect rates]]&gt;Calculations!$B$7,
         "Quality Issue",
         "Good")))</f>
        <v>Good</v>
      </c>
    </row>
    <row r="89" spans="1:32" x14ac:dyDescent="0.3">
      <c r="A89" s="2" t="s">
        <v>156</v>
      </c>
      <c r="B89" s="3" t="s">
        <v>101</v>
      </c>
      <c r="C89" s="16">
        <v>95.712135880936088</v>
      </c>
      <c r="D89" s="4">
        <v>93</v>
      </c>
      <c r="E89" s="23">
        <v>910</v>
      </c>
      <c r="F89" s="28">
        <v>7089.4742499341864</v>
      </c>
      <c r="G89" s="3" t="s">
        <v>55</v>
      </c>
      <c r="H89" s="4">
        <v>4</v>
      </c>
      <c r="I89" s="4">
        <v>15</v>
      </c>
      <c r="J89" s="4">
        <v>51</v>
      </c>
      <c r="K89" s="4">
        <v>9</v>
      </c>
      <c r="L89" s="3" t="s">
        <v>27</v>
      </c>
      <c r="M89" s="28">
        <v>8.9787507559499709</v>
      </c>
      <c r="N89" s="3" t="s">
        <v>39</v>
      </c>
      <c r="O89" s="3" t="s">
        <v>45</v>
      </c>
      <c r="P89" s="4">
        <v>10</v>
      </c>
      <c r="Q89" s="4">
        <v>964</v>
      </c>
      <c r="R89" s="4">
        <v>20</v>
      </c>
      <c r="S89" s="28">
        <v>19.712992911293647</v>
      </c>
      <c r="T89" s="3" t="s">
        <v>30</v>
      </c>
      <c r="U89" s="35">
        <v>3.8057358671321371E-3</v>
      </c>
      <c r="V89" s="3" t="s">
        <v>47</v>
      </c>
      <c r="W89" s="3" t="s">
        <v>48</v>
      </c>
      <c r="X89" s="40">
        <v>581.60235505058677</v>
      </c>
      <c r="Y89" s="16">
        <f t="shared" si="2"/>
        <v>6507.8718948835995</v>
      </c>
      <c r="Z89" s="47">
        <f>(Table3[[#This Row],[Revenue generated]]-Table3[[#This Row],[Costs]])/Table3[[#This Row],[Revenue generated]]</f>
        <v>0.91796255483176536</v>
      </c>
      <c r="AA89" s="46" t="str">
        <f>IF(Table3[[#This Row],[Stock levels]]&lt;Table3[[#This Row],[Order quantities]]*0.2,"Critical",IF(Table3[[#This Row],[Stock levels]]&lt;Table3[[#This Row],[Order quantities]]*0.5,"low","Adquate"))</f>
        <v>Critical</v>
      </c>
      <c r="AB89" s="46" t="str">
        <f>IF( F89 &gt;=Calculations!$B$3,"High",
   IF(F89 &gt;=Calculations!$B$2,"Medium",
   "Low"))</f>
        <v>Medium</v>
      </c>
      <c r="AC89" s="46" t="str">
        <f>_xlfn.IFS(Table3[[#This Row],[Defect rates]] &lt; 0.02,"Excellent",Table3[[#This Row],[Defect rates]] &lt; 0.05,"Acceptable",Table3[[#This Row],[Defect rates]] &lt; 0.1,"Concerning",Table3[[#This Row],[Defect rates]] &gt; 0.1,"Critical")</f>
        <v>Excellent</v>
      </c>
      <c r="AD89" s="48">
        <f xml:space="preserve"> Table3[[#This Row],[order Lead times]]+Table3[[#This Row],[Manufacturing lead time]]</f>
        <v>35</v>
      </c>
      <c r="AE89" s="49">
        <f>Table3[[#This Row],[Shipping costs]]/Table3[[#This Row],[Number of products sold]]</f>
        <v>9.866759072472496E-3</v>
      </c>
      <c r="AF89" s="48" t="str">
        <f>IF(AND(Table3[[#This Row],[Total Lead Time]]&gt;Calculations!$B$6,
        Table3[[#This Row],[Defect rates]]&gt;Calculations!$B$7),
   "Underperforming",
   IF(Table3[[#This Row],[Total Lead Time]]&gt;Calculations!$B$6,
      "Slow",
      IF(Table3[[#This Row],[Defect rates]]&gt;Calculations!$B$7,
         "Quality Issue",
         "Good")))</f>
        <v>Good</v>
      </c>
    </row>
    <row r="90" spans="1:32" x14ac:dyDescent="0.3">
      <c r="A90" s="2" t="s">
        <v>157</v>
      </c>
      <c r="B90" s="3" t="s">
        <v>97</v>
      </c>
      <c r="C90" s="16">
        <v>11.743271776309239</v>
      </c>
      <c r="D90" s="4">
        <v>6</v>
      </c>
      <c r="E90" s="23">
        <v>598</v>
      </c>
      <c r="F90" s="28">
        <v>5737.425599119023</v>
      </c>
      <c r="G90" s="3" t="s">
        <v>38</v>
      </c>
      <c r="H90" s="4">
        <v>36</v>
      </c>
      <c r="I90" s="4">
        <v>29</v>
      </c>
      <c r="J90" s="4">
        <v>85</v>
      </c>
      <c r="K90" s="4">
        <v>9</v>
      </c>
      <c r="L90" s="3" t="s">
        <v>27</v>
      </c>
      <c r="M90" s="28">
        <v>3.6940212683884543</v>
      </c>
      <c r="N90" s="3" t="s">
        <v>44</v>
      </c>
      <c r="O90" s="3" t="s">
        <v>29</v>
      </c>
      <c r="P90" s="4">
        <v>1</v>
      </c>
      <c r="Q90" s="4">
        <v>206</v>
      </c>
      <c r="R90" s="4">
        <v>23</v>
      </c>
      <c r="S90" s="28">
        <v>26.27736595733241</v>
      </c>
      <c r="T90" s="3" t="s">
        <v>30</v>
      </c>
      <c r="U90" s="35">
        <v>3.7230476798509769E-3</v>
      </c>
      <c r="V90" s="3" t="s">
        <v>40</v>
      </c>
      <c r="W90" s="3" t="s">
        <v>48</v>
      </c>
      <c r="X90" s="40">
        <v>716.04411975934067</v>
      </c>
      <c r="Y90" s="16">
        <f t="shared" si="2"/>
        <v>5021.3814793596821</v>
      </c>
      <c r="Z90" s="47">
        <f>(Table3[[#This Row],[Revenue generated]]-Table3[[#This Row],[Costs]])/Table3[[#This Row],[Revenue generated]]</f>
        <v>0.87519766358812756</v>
      </c>
      <c r="AA90" s="46" t="str">
        <f>IF(Table3[[#This Row],[Stock levels]]&lt;Table3[[#This Row],[Order quantities]]*0.2,"Critical",IF(Table3[[#This Row],[Stock levels]]&lt;Table3[[#This Row],[Order quantities]]*0.5,"low","Adquate"))</f>
        <v>low</v>
      </c>
      <c r="AB90" s="46" t="str">
        <f>IF( F90 &gt;=Calculations!$B$3,"High",
   IF(F90 &gt;=Calculations!$B$2,"Medium",
   "Low"))</f>
        <v>Medium</v>
      </c>
      <c r="AC90" s="46" t="str">
        <f>_xlfn.IFS(Table3[[#This Row],[Defect rates]] &lt; 0.02,"Excellent",Table3[[#This Row],[Defect rates]] &lt; 0.05,"Acceptable",Table3[[#This Row],[Defect rates]] &lt; 0.1,"Concerning",Table3[[#This Row],[Defect rates]] &gt; 0.1,"Critical")</f>
        <v>Excellent</v>
      </c>
      <c r="AD90" s="48">
        <f xml:space="preserve"> Table3[[#This Row],[order Lead times]]+Table3[[#This Row],[Manufacturing lead time]]</f>
        <v>52</v>
      </c>
      <c r="AE90" s="49">
        <f>Table3[[#This Row],[Shipping costs]]/Table3[[#This Row],[Number of products sold]]</f>
        <v>6.1772930909505929E-3</v>
      </c>
      <c r="AF90" s="48" t="str">
        <f>IF(AND(Table3[[#This Row],[Total Lead Time]]&gt;Calculations!$B$6,
        Table3[[#This Row],[Defect rates]]&gt;Calculations!$B$7),
   "Underperforming",
   IF(Table3[[#This Row],[Total Lead Time]]&gt;Calculations!$B$6,
      "Slow",
      IF(Table3[[#This Row],[Defect rates]]&gt;Calculations!$B$7,
         "Quality Issue",
         "Good")))</f>
        <v>Slow</v>
      </c>
    </row>
    <row r="91" spans="1:32" x14ac:dyDescent="0.3">
      <c r="A91" s="2" t="s">
        <v>156</v>
      </c>
      <c r="B91" s="3" t="s">
        <v>153</v>
      </c>
      <c r="C91" s="16">
        <v>68.517832699276639</v>
      </c>
      <c r="D91" s="4">
        <v>17</v>
      </c>
      <c r="E91" s="23">
        <v>627</v>
      </c>
      <c r="F91" s="28">
        <v>9185.1858291817043</v>
      </c>
      <c r="G91" s="3" t="s">
        <v>38</v>
      </c>
      <c r="H91" s="4">
        <v>55</v>
      </c>
      <c r="I91" s="4">
        <v>8</v>
      </c>
      <c r="J91" s="4">
        <v>59</v>
      </c>
      <c r="K91" s="4">
        <v>6</v>
      </c>
      <c r="L91" s="3" t="s">
        <v>27</v>
      </c>
      <c r="M91" s="28">
        <v>1.3110237561206226</v>
      </c>
      <c r="N91" s="3" t="s">
        <v>61</v>
      </c>
      <c r="O91" s="3" t="s">
        <v>62</v>
      </c>
      <c r="P91" s="4">
        <v>29</v>
      </c>
      <c r="Q91" s="4">
        <v>921</v>
      </c>
      <c r="R91" s="4">
        <v>2</v>
      </c>
      <c r="S91" s="28">
        <v>38.07289852062604</v>
      </c>
      <c r="T91" s="3" t="s">
        <v>46</v>
      </c>
      <c r="U91" s="35">
        <v>3.4602729070550343E-3</v>
      </c>
      <c r="V91" s="3" t="s">
        <v>47</v>
      </c>
      <c r="W91" s="3" t="s">
        <v>32</v>
      </c>
      <c r="X91" s="40">
        <v>210.74300896424614</v>
      </c>
      <c r="Y91" s="16">
        <f t="shared" si="2"/>
        <v>8974.4428202174586</v>
      </c>
      <c r="Z91" s="47">
        <f>(Table3[[#This Row],[Revenue generated]]-Table3[[#This Row],[Costs]])/Table3[[#This Row],[Revenue generated]]</f>
        <v>0.97705620627786249</v>
      </c>
      <c r="AA91" s="46" t="str">
        <f>IF(Table3[[#This Row],[Stock levels]]&lt;Table3[[#This Row],[Order quantities]]*0.2,"Critical",IF(Table3[[#This Row],[Stock levels]]&lt;Table3[[#This Row],[Order quantities]]*0.5,"low","Adquate"))</f>
        <v>Adquate</v>
      </c>
      <c r="AB91" s="46" t="str">
        <f>IF( F91 &gt;=Calculations!$B$3,"High",
   IF(F91 &gt;=Calculations!$B$2,"Medium",
   "Low"))</f>
        <v>High</v>
      </c>
      <c r="AC91" s="46" t="str">
        <f>_xlfn.IFS(Table3[[#This Row],[Defect rates]] &lt; 0.02,"Excellent",Table3[[#This Row],[Defect rates]] &lt; 0.05,"Acceptable",Table3[[#This Row],[Defect rates]] &lt; 0.1,"Concerning",Table3[[#This Row],[Defect rates]] &gt; 0.1,"Critical")</f>
        <v>Excellent</v>
      </c>
      <c r="AD91" s="48">
        <f xml:space="preserve"> Table3[[#This Row],[order Lead times]]+Table3[[#This Row],[Manufacturing lead time]]</f>
        <v>10</v>
      </c>
      <c r="AE91" s="49">
        <f>Table3[[#This Row],[Shipping costs]]/Table3[[#This Row],[Number of products sold]]</f>
        <v>2.0909469794587283E-3</v>
      </c>
      <c r="AF91" s="48" t="str">
        <f>IF(AND(Table3[[#This Row],[Total Lead Time]]&gt;Calculations!$B$6,
        Table3[[#This Row],[Defect rates]]&gt;Calculations!$B$7),
   "Underperforming",
   IF(Table3[[#This Row],[Total Lead Time]]&gt;Calculations!$B$6,
      "Slow",
      IF(Table3[[#This Row],[Defect rates]]&gt;Calculations!$B$7,
         "Quality Issue",
         "Good")))</f>
        <v>Good</v>
      </c>
    </row>
    <row r="92" spans="1:32" x14ac:dyDescent="0.3">
      <c r="A92" s="2" t="s">
        <v>156</v>
      </c>
      <c r="B92" s="5" t="s">
        <v>146</v>
      </c>
      <c r="C92" s="15">
        <v>47.714233075820232</v>
      </c>
      <c r="D92" s="6">
        <v>44</v>
      </c>
      <c r="E92" s="22">
        <v>276</v>
      </c>
      <c r="F92" s="29">
        <v>2100.1297546259366</v>
      </c>
      <c r="G92" s="5" t="s">
        <v>55</v>
      </c>
      <c r="H92" s="6">
        <v>90</v>
      </c>
      <c r="I92" s="6">
        <v>25</v>
      </c>
      <c r="J92" s="6">
        <v>10</v>
      </c>
      <c r="K92" s="6">
        <v>8</v>
      </c>
      <c r="L92" s="5" t="s">
        <v>27</v>
      </c>
      <c r="M92" s="29">
        <v>4.4695000261236011</v>
      </c>
      <c r="N92" s="5" t="s">
        <v>61</v>
      </c>
      <c r="O92" s="5" t="s">
        <v>29</v>
      </c>
      <c r="P92" s="6">
        <v>4</v>
      </c>
      <c r="Q92" s="6">
        <v>671</v>
      </c>
      <c r="R92" s="6">
        <v>29</v>
      </c>
      <c r="S92" s="29">
        <v>62.612690395614344</v>
      </c>
      <c r="T92" s="5" t="s">
        <v>64</v>
      </c>
      <c r="U92" s="36">
        <v>3.3343182522473924E-3</v>
      </c>
      <c r="V92" s="5" t="s">
        <v>47</v>
      </c>
      <c r="W92" s="5" t="s">
        <v>32</v>
      </c>
      <c r="X92" s="41">
        <v>230.09278253676294</v>
      </c>
      <c r="Y92" s="16">
        <f t="shared" si="2"/>
        <v>1870.0369720891736</v>
      </c>
      <c r="Z92" s="47">
        <f>(Table3[[#This Row],[Revenue generated]]-Table3[[#This Row],[Costs]])/Table3[[#This Row],[Revenue generated]]</f>
        <v>0.89043877787553849</v>
      </c>
      <c r="AA92" s="46" t="str">
        <f>IF(Table3[[#This Row],[Stock levels]]&lt;Table3[[#This Row],[Order quantities]]*0.2,"Critical",IF(Table3[[#This Row],[Stock levels]]&lt;Table3[[#This Row],[Order quantities]]*0.5,"low","Adquate"))</f>
        <v>Adquate</v>
      </c>
      <c r="AB92" s="46" t="str">
        <f>IF( F92 &gt;=Calculations!$B$3,"High",
   IF(F92 &gt;=Calculations!$B$2,"Medium",
   "Low"))</f>
        <v>Low</v>
      </c>
      <c r="AC92" s="46" t="str">
        <f>_xlfn.IFS(Table3[[#This Row],[Defect rates]] &lt; 0.02,"Excellent",Table3[[#This Row],[Defect rates]] &lt; 0.05,"Acceptable",Table3[[#This Row],[Defect rates]] &lt; 0.1,"Concerning",Table3[[#This Row],[Defect rates]] &gt; 0.1,"Critical")</f>
        <v>Excellent</v>
      </c>
      <c r="AD92" s="48">
        <f xml:space="preserve"> Table3[[#This Row],[order Lead times]]+Table3[[#This Row],[Manufacturing lead time]]</f>
        <v>54</v>
      </c>
      <c r="AE92" s="49">
        <f>Table3[[#This Row],[Shipping costs]]/Table3[[#This Row],[Number of products sold]]</f>
        <v>1.6193840674360874E-2</v>
      </c>
      <c r="AF92" s="48" t="str">
        <f>IF(AND(Table3[[#This Row],[Total Lead Time]]&gt;Calculations!$B$6,
        Table3[[#This Row],[Defect rates]]&gt;Calculations!$B$7),
   "Underperforming",
   IF(Table3[[#This Row],[Total Lead Time]]&gt;Calculations!$B$6,
      "Slow",
      IF(Table3[[#This Row],[Defect rates]]&gt;Calculations!$B$7,
         "Quality Issue",
         "Good")))</f>
        <v>Slow</v>
      </c>
    </row>
    <row r="93" spans="1:32" x14ac:dyDescent="0.3">
      <c r="A93" s="2" t="s">
        <v>155</v>
      </c>
      <c r="B93" s="13" t="s">
        <v>25</v>
      </c>
      <c r="C93" s="15">
        <v>69.808005542115765</v>
      </c>
      <c r="D93" s="13">
        <v>55</v>
      </c>
      <c r="E93" s="24">
        <v>802</v>
      </c>
      <c r="F93" s="30">
        <v>8661.9967923923832</v>
      </c>
      <c r="G93" s="13" t="s">
        <v>26</v>
      </c>
      <c r="H93" s="13">
        <v>58</v>
      </c>
      <c r="I93" s="13">
        <v>7</v>
      </c>
      <c r="J93" s="13">
        <v>96</v>
      </c>
      <c r="K93" s="13">
        <v>4</v>
      </c>
      <c r="L93" s="13" t="s">
        <v>27</v>
      </c>
      <c r="M93" s="30">
        <v>2.9565721394308069</v>
      </c>
      <c r="N93" s="13" t="s">
        <v>28</v>
      </c>
      <c r="O93" s="13" t="s">
        <v>29</v>
      </c>
      <c r="P93" s="13">
        <v>29</v>
      </c>
      <c r="Q93" s="13">
        <v>215</v>
      </c>
      <c r="R93" s="13">
        <v>29</v>
      </c>
      <c r="S93" s="30">
        <v>46.279879240508322</v>
      </c>
      <c r="T93" s="13" t="s">
        <v>30</v>
      </c>
      <c r="U93" s="36">
        <v>2.2641036084992518E-3</v>
      </c>
      <c r="V93" s="13" t="s">
        <v>31</v>
      </c>
      <c r="W93" s="13" t="s">
        <v>32</v>
      </c>
      <c r="X93" s="42">
        <v>187.75207545920392</v>
      </c>
      <c r="Y93" s="16">
        <f t="shared" si="2"/>
        <v>8474.244716933179</v>
      </c>
      <c r="Z93" s="47">
        <f>(Table3[[#This Row],[Revenue generated]]-Table3[[#This Row],[Costs]])/Table3[[#This Row],[Revenue generated]]</f>
        <v>0.97832461960455785</v>
      </c>
      <c r="AA93" s="46" t="str">
        <f>IF(Table3[[#This Row],[Stock levels]]&lt;Table3[[#This Row],[Order quantities]]*0.2,"Critical",IF(Table3[[#This Row],[Stock levels]]&lt;Table3[[#This Row],[Order quantities]]*0.5,"low","Adquate"))</f>
        <v>Adquate</v>
      </c>
      <c r="AB93" s="46" t="str">
        <f>IF( F93 &gt;=Calculations!$B$3,"High",
   IF(F93 &gt;=Calculations!$B$2,"Medium",
   "Low"))</f>
        <v>High</v>
      </c>
      <c r="AC93" s="46" t="str">
        <f>_xlfn.IFS(Table3[[#This Row],[Defect rates]] &lt; 0.02,"Excellent",Table3[[#This Row],[Defect rates]] &lt; 0.05,"Acceptable",Table3[[#This Row],[Defect rates]] &lt; 0.1,"Concerning",Table3[[#This Row],[Defect rates]] &gt; 0.1,"Critical")</f>
        <v>Excellent</v>
      </c>
      <c r="AD93" s="48">
        <f xml:space="preserve"> Table3[[#This Row],[order Lead times]]+Table3[[#This Row],[Manufacturing lead time]]</f>
        <v>36</v>
      </c>
      <c r="AE93" s="49">
        <f>Table3[[#This Row],[Shipping costs]]/Table3[[#This Row],[Number of products sold]]</f>
        <v>3.6864989269710809E-3</v>
      </c>
      <c r="AF93" s="48" t="str">
        <f>IF(AND(Table3[[#This Row],[Total Lead Time]]&gt;Calculations!$B$6,
        Table3[[#This Row],[Defect rates]]&gt;Calculations!$B$7),
   "Underperforming",
   IF(Table3[[#This Row],[Total Lead Time]]&gt;Calculations!$B$6,
      "Slow",
      IF(Table3[[#This Row],[Defect rates]]&gt;Calculations!$B$7,
         "Quality Issue",
         "Good")))</f>
        <v>Good</v>
      </c>
    </row>
    <row r="94" spans="1:32" x14ac:dyDescent="0.3">
      <c r="A94" s="2" t="s">
        <v>155</v>
      </c>
      <c r="B94" s="3" t="s">
        <v>133</v>
      </c>
      <c r="C94" s="16">
        <v>57.057031221103223</v>
      </c>
      <c r="D94" s="4">
        <v>56</v>
      </c>
      <c r="E94" s="23">
        <v>198</v>
      </c>
      <c r="F94" s="28">
        <v>7888.7232684270812</v>
      </c>
      <c r="G94" s="3" t="s">
        <v>26</v>
      </c>
      <c r="H94" s="4">
        <v>31</v>
      </c>
      <c r="I94" s="4">
        <v>25</v>
      </c>
      <c r="J94" s="4">
        <v>20</v>
      </c>
      <c r="K94" s="4">
        <v>1</v>
      </c>
      <c r="L94" s="3" t="s">
        <v>27</v>
      </c>
      <c r="M94" s="28">
        <v>6.4963253642950445</v>
      </c>
      <c r="N94" s="3" t="s">
        <v>28</v>
      </c>
      <c r="O94" s="3" t="s">
        <v>53</v>
      </c>
      <c r="P94" s="4">
        <v>5</v>
      </c>
      <c r="Q94" s="4">
        <v>228</v>
      </c>
      <c r="R94" s="4">
        <v>12</v>
      </c>
      <c r="S94" s="28">
        <v>57.87090292403628</v>
      </c>
      <c r="T94" s="3" t="s">
        <v>30</v>
      </c>
      <c r="U94" s="35">
        <v>1.6587162748060824E-3</v>
      </c>
      <c r="V94" s="3" t="s">
        <v>40</v>
      </c>
      <c r="W94" s="3" t="s">
        <v>41</v>
      </c>
      <c r="X94" s="40">
        <v>351.50421933503867</v>
      </c>
      <c r="Y94" s="16">
        <f t="shared" si="2"/>
        <v>7537.219049092042</v>
      </c>
      <c r="Z94" s="47">
        <f>(Table3[[#This Row],[Revenue generated]]-Table3[[#This Row],[Costs]])/Table3[[#This Row],[Revenue generated]]</f>
        <v>0.9554421916735425</v>
      </c>
      <c r="AA94" s="46" t="str">
        <f>IF(Table3[[#This Row],[Stock levels]]&lt;Table3[[#This Row],[Order quantities]]*0.2,"Critical",IF(Table3[[#This Row],[Stock levels]]&lt;Table3[[#This Row],[Order quantities]]*0.5,"low","Adquate"))</f>
        <v>Adquate</v>
      </c>
      <c r="AB94" s="46" t="str">
        <f>IF( F94 &gt;=Calculations!$B$3,"High",
   IF(F94 &gt;=Calculations!$B$2,"Medium",
   "Low"))</f>
        <v>High</v>
      </c>
      <c r="AC94" s="46" t="str">
        <f>_xlfn.IFS(Table3[[#This Row],[Defect rates]] &lt; 0.02,"Excellent",Table3[[#This Row],[Defect rates]] &lt; 0.05,"Acceptable",Table3[[#This Row],[Defect rates]] &lt; 0.1,"Concerning",Table3[[#This Row],[Defect rates]] &gt; 0.1,"Critical")</f>
        <v>Excellent</v>
      </c>
      <c r="AD94" s="48">
        <f xml:space="preserve"> Table3[[#This Row],[order Lead times]]+Table3[[#This Row],[Manufacturing lead time]]</f>
        <v>37</v>
      </c>
      <c r="AE94" s="49">
        <f>Table3[[#This Row],[Shipping costs]]/Table3[[#This Row],[Number of products sold]]</f>
        <v>3.2809724062096181E-2</v>
      </c>
      <c r="AF94" s="48" t="str">
        <f>IF(AND(Table3[[#This Row],[Total Lead Time]]&gt;Calculations!$B$6,
        Table3[[#This Row],[Defect rates]]&gt;Calculations!$B$7),
   "Underperforming",
   IF(Table3[[#This Row],[Total Lead Time]]&gt;Calculations!$B$6,
      "Slow",
      IF(Table3[[#This Row],[Defect rates]]&gt;Calculations!$B$7,
         "Quality Issue",
         "Good")))</f>
        <v>Good</v>
      </c>
    </row>
    <row r="95" spans="1:32" x14ac:dyDescent="0.3">
      <c r="A95" s="2" t="s">
        <v>155</v>
      </c>
      <c r="B95" s="5" t="s">
        <v>118</v>
      </c>
      <c r="C95" s="15">
        <v>89.634095608135326</v>
      </c>
      <c r="D95" s="6">
        <v>11</v>
      </c>
      <c r="E95" s="22">
        <v>134</v>
      </c>
      <c r="F95" s="29">
        <v>8458.7308783671779</v>
      </c>
      <c r="G95" s="5" t="s">
        <v>35</v>
      </c>
      <c r="H95" s="6">
        <v>73</v>
      </c>
      <c r="I95" s="6">
        <v>27</v>
      </c>
      <c r="J95" s="6">
        <v>75</v>
      </c>
      <c r="K95" s="6">
        <v>6</v>
      </c>
      <c r="L95" s="5" t="s">
        <v>43</v>
      </c>
      <c r="M95" s="29">
        <v>4.5853534681946524</v>
      </c>
      <c r="N95" s="5" t="s">
        <v>39</v>
      </c>
      <c r="O95" s="5" t="s">
        <v>50</v>
      </c>
      <c r="P95" s="6">
        <v>17</v>
      </c>
      <c r="Q95" s="6">
        <v>328</v>
      </c>
      <c r="R95" s="6">
        <v>6</v>
      </c>
      <c r="S95" s="29">
        <v>8.6930424258772874</v>
      </c>
      <c r="T95" s="5" t="s">
        <v>46</v>
      </c>
      <c r="U95" s="36">
        <v>1.5948631471751462E-3</v>
      </c>
      <c r="V95" s="5" t="s">
        <v>40</v>
      </c>
      <c r="W95" s="5" t="s">
        <v>41</v>
      </c>
      <c r="X95" s="41">
        <v>771.22508468115745</v>
      </c>
      <c r="Y95" s="16">
        <f t="shared" si="2"/>
        <v>7687.5057936860203</v>
      </c>
      <c r="Z95" s="47">
        <f>(Table3[[#This Row],[Revenue generated]]-Table3[[#This Row],[Costs]])/Table3[[#This Row],[Revenue generated]]</f>
        <v>0.90882496490655229</v>
      </c>
      <c r="AA95" s="46" t="str">
        <f>IF(Table3[[#This Row],[Stock levels]]&lt;Table3[[#This Row],[Order quantities]]*0.2,"Critical",IF(Table3[[#This Row],[Stock levels]]&lt;Table3[[#This Row],[Order quantities]]*0.5,"low","Adquate"))</f>
        <v>Adquate</v>
      </c>
      <c r="AB95" s="46" t="str">
        <f>IF( F95 &gt;=Calculations!$B$3,"High",
   IF(F95 &gt;=Calculations!$B$2,"Medium",
   "Low"))</f>
        <v>High</v>
      </c>
      <c r="AC95" s="46" t="str">
        <f>_xlfn.IFS(Table3[[#This Row],[Defect rates]] &lt; 0.02,"Excellent",Table3[[#This Row],[Defect rates]] &lt; 0.05,"Acceptable",Table3[[#This Row],[Defect rates]] &lt; 0.1,"Concerning",Table3[[#This Row],[Defect rates]] &gt; 0.1,"Critical")</f>
        <v>Excellent</v>
      </c>
      <c r="AD95" s="48">
        <f xml:space="preserve"> Table3[[#This Row],[order Lead times]]+Table3[[#This Row],[Manufacturing lead time]]</f>
        <v>33</v>
      </c>
      <c r="AE95" s="49">
        <f>Table3[[#This Row],[Shipping costs]]/Table3[[#This Row],[Number of products sold]]</f>
        <v>3.4219055732795912E-2</v>
      </c>
      <c r="AF95" s="48" t="str">
        <f>IF(AND(Table3[[#This Row],[Total Lead Time]]&gt;Calculations!$B$6,
        Table3[[#This Row],[Defect rates]]&gt;Calculations!$B$7),
   "Underperforming",
   IF(Table3[[#This Row],[Total Lead Time]]&gt;Calculations!$B$6,
      "Slow",
      IF(Table3[[#This Row],[Defect rates]]&gt;Calculations!$B$7,
         "Quality Issue",
         "Good")))</f>
        <v>Good</v>
      </c>
    </row>
    <row r="96" spans="1:32" x14ac:dyDescent="0.3">
      <c r="A96" s="2" t="s">
        <v>156</v>
      </c>
      <c r="B96" s="3" t="s">
        <v>121</v>
      </c>
      <c r="C96" s="16">
        <v>87.755432354001073</v>
      </c>
      <c r="D96" s="4">
        <v>16</v>
      </c>
      <c r="E96" s="23">
        <v>513</v>
      </c>
      <c r="F96" s="28">
        <v>9473.7980325083372</v>
      </c>
      <c r="G96" s="3" t="s">
        <v>38</v>
      </c>
      <c r="H96" s="4">
        <v>12</v>
      </c>
      <c r="I96" s="4">
        <v>9</v>
      </c>
      <c r="J96" s="4">
        <v>71</v>
      </c>
      <c r="K96" s="4">
        <v>9</v>
      </c>
      <c r="L96" s="3" t="s">
        <v>43</v>
      </c>
      <c r="M96" s="28">
        <v>9.147811544710633</v>
      </c>
      <c r="N96" s="3" t="s">
        <v>39</v>
      </c>
      <c r="O96" s="3" t="s">
        <v>29</v>
      </c>
      <c r="P96" s="4">
        <v>10</v>
      </c>
      <c r="Q96" s="4">
        <v>198</v>
      </c>
      <c r="R96" s="4">
        <v>11</v>
      </c>
      <c r="S96" s="28">
        <v>7.0578761469782307</v>
      </c>
      <c r="T96" s="3" t="s">
        <v>64</v>
      </c>
      <c r="U96" s="35">
        <v>1.3195544431181482E-3</v>
      </c>
      <c r="V96" s="3" t="s">
        <v>56</v>
      </c>
      <c r="W96" s="3" t="s">
        <v>41</v>
      </c>
      <c r="X96" s="40">
        <v>169.2718013847869</v>
      </c>
      <c r="Y96" s="16">
        <f t="shared" si="2"/>
        <v>9304.526231123551</v>
      </c>
      <c r="Z96" s="47">
        <f>(Table3[[#This Row],[Revenue generated]]-Table3[[#This Row],[Costs]])/Table3[[#This Row],[Revenue generated]]</f>
        <v>0.98213263563314868</v>
      </c>
      <c r="AA96" s="46" t="str">
        <f>IF(Table3[[#This Row],[Stock levels]]&lt;Table3[[#This Row],[Order quantities]]*0.2,"Critical",IF(Table3[[#This Row],[Stock levels]]&lt;Table3[[#This Row],[Order quantities]]*0.5,"low","Adquate"))</f>
        <v>Critical</v>
      </c>
      <c r="AB96" s="46" t="str">
        <f>IF( F96 &gt;=Calculations!$B$3,"High",
   IF(F96 &gt;=Calculations!$B$2,"Medium",
   "Low"))</f>
        <v>High</v>
      </c>
      <c r="AC96" s="46" t="str">
        <f>_xlfn.IFS(Table3[[#This Row],[Defect rates]] &lt; 0.02,"Excellent",Table3[[#This Row],[Defect rates]] &lt; 0.05,"Acceptable",Table3[[#This Row],[Defect rates]] &lt; 0.1,"Concerning",Table3[[#This Row],[Defect rates]] &gt; 0.1,"Critical")</f>
        <v>Excellent</v>
      </c>
      <c r="AD96" s="48">
        <f xml:space="preserve"> Table3[[#This Row],[order Lead times]]+Table3[[#This Row],[Manufacturing lead time]]</f>
        <v>20</v>
      </c>
      <c r="AE96" s="49">
        <f>Table3[[#This Row],[Shipping costs]]/Table3[[#This Row],[Number of products sold]]</f>
        <v>1.7831991315225407E-2</v>
      </c>
      <c r="AF96" s="48" t="str">
        <f>IF(AND(Table3[[#This Row],[Total Lead Time]]&gt;Calculations!$B$6,
        Table3[[#This Row],[Defect rates]]&gt;Calculations!$B$7),
   "Underperforming",
   IF(Table3[[#This Row],[Total Lead Time]]&gt;Calculations!$B$6,
      "Slow",
      IF(Table3[[#This Row],[Defect rates]]&gt;Calculations!$B$7,
         "Quality Issue",
         "Good")))</f>
        <v>Good</v>
      </c>
    </row>
    <row r="97" spans="1:32" x14ac:dyDescent="0.3">
      <c r="A97" s="2" t="s">
        <v>156</v>
      </c>
      <c r="B97" s="3" t="s">
        <v>71</v>
      </c>
      <c r="C97" s="16">
        <v>81.462534369237019</v>
      </c>
      <c r="D97" s="4">
        <v>82</v>
      </c>
      <c r="E97" s="23">
        <v>126</v>
      </c>
      <c r="F97" s="28">
        <v>2629.3964348452619</v>
      </c>
      <c r="G97" s="3" t="s">
        <v>35</v>
      </c>
      <c r="H97" s="4">
        <v>45</v>
      </c>
      <c r="I97" s="4">
        <v>17</v>
      </c>
      <c r="J97" s="4">
        <v>85</v>
      </c>
      <c r="K97" s="4">
        <v>9</v>
      </c>
      <c r="L97" s="3" t="s">
        <v>43</v>
      </c>
      <c r="M97" s="28">
        <v>3.5854189582323421</v>
      </c>
      <c r="N97" s="3" t="s">
        <v>39</v>
      </c>
      <c r="O97" s="3" t="s">
        <v>62</v>
      </c>
      <c r="P97" s="4">
        <v>7</v>
      </c>
      <c r="Q97" s="4">
        <v>453</v>
      </c>
      <c r="R97" s="4">
        <v>16</v>
      </c>
      <c r="S97" s="28">
        <v>47.679680368355335</v>
      </c>
      <c r="T97" s="3" t="s">
        <v>46</v>
      </c>
      <c r="U97" s="35">
        <v>1.0202075491817599E-3</v>
      </c>
      <c r="V97" s="3" t="s">
        <v>40</v>
      </c>
      <c r="W97" s="3" t="s">
        <v>41</v>
      </c>
      <c r="X97" s="40">
        <v>670.93439079241034</v>
      </c>
      <c r="Y97" s="16">
        <f t="shared" si="2"/>
        <v>1958.4620440528515</v>
      </c>
      <c r="Z97" s="47">
        <f>(Table3[[#This Row],[Revenue generated]]-Table3[[#This Row],[Costs]])/Table3[[#This Row],[Revenue generated]]</f>
        <v>0.74483330778841106</v>
      </c>
      <c r="AA97" s="46" t="str">
        <f>IF(Table3[[#This Row],[Stock levels]]&lt;Table3[[#This Row],[Order quantities]]*0.2,"Critical",IF(Table3[[#This Row],[Stock levels]]&lt;Table3[[#This Row],[Order quantities]]*0.5,"low","Adquate"))</f>
        <v>Adquate</v>
      </c>
      <c r="AB97" s="46" t="str">
        <f>IF( F97 &gt;=Calculations!$B$3,"High",
   IF(F97 &gt;=Calculations!$B$2,"Medium",
   "Low"))</f>
        <v>Low</v>
      </c>
      <c r="AC97" s="46" t="str">
        <f>_xlfn.IFS(Table3[[#This Row],[Defect rates]] &lt; 0.02,"Excellent",Table3[[#This Row],[Defect rates]] &lt; 0.05,"Acceptable",Table3[[#This Row],[Defect rates]] &lt; 0.1,"Concerning",Table3[[#This Row],[Defect rates]] &gt; 0.1,"Critical")</f>
        <v>Excellent</v>
      </c>
      <c r="AD97" s="48">
        <f xml:space="preserve"> Table3[[#This Row],[order Lead times]]+Table3[[#This Row],[Manufacturing lead time]]</f>
        <v>33</v>
      </c>
      <c r="AE97" s="49">
        <f>Table3[[#This Row],[Shipping costs]]/Table3[[#This Row],[Number of products sold]]</f>
        <v>2.8455706017717002E-2</v>
      </c>
      <c r="AF97" s="48" t="str">
        <f>IF(AND(Table3[[#This Row],[Total Lead Time]]&gt;Calculations!$B$6,
        Table3[[#This Row],[Defect rates]]&gt;Calculations!$B$7),
   "Underperforming",
   IF(Table3[[#This Row],[Total Lead Time]]&gt;Calculations!$B$6,
      "Slow",
      IF(Table3[[#This Row],[Defect rates]]&gt;Calculations!$B$7,
         "Quality Issue",
         "Good")))</f>
        <v>Good</v>
      </c>
    </row>
    <row r="98" spans="1:32" x14ac:dyDescent="0.3">
      <c r="A98" s="2" t="s">
        <v>155</v>
      </c>
      <c r="B98" s="5" t="s">
        <v>68</v>
      </c>
      <c r="C98" s="15">
        <v>99.171328638624189</v>
      </c>
      <c r="D98" s="6">
        <v>26</v>
      </c>
      <c r="E98" s="22">
        <v>562</v>
      </c>
      <c r="F98" s="29">
        <v>8653.5709264698016</v>
      </c>
      <c r="G98" s="5" t="s">
        <v>26</v>
      </c>
      <c r="H98" s="6">
        <v>54</v>
      </c>
      <c r="I98" s="6">
        <v>29</v>
      </c>
      <c r="J98" s="6">
        <v>78</v>
      </c>
      <c r="K98" s="6">
        <v>5</v>
      </c>
      <c r="L98" s="5" t="s">
        <v>27</v>
      </c>
      <c r="M98" s="29">
        <v>2.0397701894493316</v>
      </c>
      <c r="N98" s="5" t="s">
        <v>39</v>
      </c>
      <c r="O98" s="5" t="s">
        <v>45</v>
      </c>
      <c r="P98" s="6">
        <v>25</v>
      </c>
      <c r="Q98" s="6">
        <v>558</v>
      </c>
      <c r="R98" s="6">
        <v>14</v>
      </c>
      <c r="S98" s="29">
        <v>5.7914366298629893</v>
      </c>
      <c r="T98" s="5" t="s">
        <v>30</v>
      </c>
      <c r="U98" s="36">
        <v>1.0068285156509371E-3</v>
      </c>
      <c r="V98" s="5" t="s">
        <v>40</v>
      </c>
      <c r="W98" s="5" t="s">
        <v>32</v>
      </c>
      <c r="X98" s="41">
        <v>929.23528996088965</v>
      </c>
      <c r="Y98" s="16">
        <f t="shared" ref="Y98:Y129" si="3" xml:space="preserve"> F98 -X98</f>
        <v>7724.3356365089121</v>
      </c>
      <c r="Z98" s="47">
        <f>(Table3[[#This Row],[Revenue generated]]-Table3[[#This Row],[Costs]])/Table3[[#This Row],[Revenue generated]]</f>
        <v>0.89261828465304227</v>
      </c>
      <c r="AA98" s="46" t="str">
        <f>IF(Table3[[#This Row],[Stock levels]]&lt;Table3[[#This Row],[Order quantities]]*0.2,"Critical",IF(Table3[[#This Row],[Stock levels]]&lt;Table3[[#This Row],[Order quantities]]*0.5,"low","Adquate"))</f>
        <v>Adquate</v>
      </c>
      <c r="AB98" s="46" t="str">
        <f>IF( F98 &gt;=Calculations!$B$3,"High",
   IF(F98 &gt;=Calculations!$B$2,"Medium",
   "Low"))</f>
        <v>High</v>
      </c>
      <c r="AC98" s="46" t="str">
        <f>_xlfn.IFS(Table3[[#This Row],[Defect rates]] &lt; 0.02,"Excellent",Table3[[#This Row],[Defect rates]] &lt; 0.05,"Acceptable",Table3[[#This Row],[Defect rates]] &lt; 0.1,"Concerning",Table3[[#This Row],[Defect rates]] &gt; 0.1,"Critical")</f>
        <v>Excellent</v>
      </c>
      <c r="AD98" s="48">
        <f xml:space="preserve"> Table3[[#This Row],[order Lead times]]+Table3[[#This Row],[Manufacturing lead time]]</f>
        <v>43</v>
      </c>
      <c r="AE98" s="49">
        <f>Table3[[#This Row],[Shipping costs]]/Table3[[#This Row],[Number of products sold]]</f>
        <v>3.6294843228635793E-3</v>
      </c>
      <c r="AF98" s="48" t="str">
        <f>IF(AND(Table3[[#This Row],[Total Lead Time]]&gt;Calculations!$B$6,
        Table3[[#This Row],[Defect rates]]&gt;Calculations!$B$7),
   "Underperforming",
   IF(Table3[[#This Row],[Total Lead Time]]&gt;Calculations!$B$6,
      "Slow",
      IF(Table3[[#This Row],[Defect rates]]&gt;Calculations!$B$7,
         "Quality Issue",
         "Good")))</f>
        <v>Slow</v>
      </c>
    </row>
    <row r="99" spans="1:32" x14ac:dyDescent="0.3">
      <c r="A99" s="2" t="s">
        <v>155</v>
      </c>
      <c r="B99" s="3" t="s">
        <v>95</v>
      </c>
      <c r="C99" s="16">
        <v>99.113291615317166</v>
      </c>
      <c r="D99" s="4">
        <v>35</v>
      </c>
      <c r="E99" s="23">
        <v>556</v>
      </c>
      <c r="F99" s="28">
        <v>5521.2052590109715</v>
      </c>
      <c r="G99" s="3" t="s">
        <v>35</v>
      </c>
      <c r="H99" s="4">
        <v>64</v>
      </c>
      <c r="I99" s="4">
        <v>19</v>
      </c>
      <c r="J99" s="4">
        <v>38</v>
      </c>
      <c r="K99" s="4">
        <v>8</v>
      </c>
      <c r="L99" s="3" t="s">
        <v>27</v>
      </c>
      <c r="M99" s="28">
        <v>5.7732637437666536</v>
      </c>
      <c r="N99" s="3" t="s">
        <v>52</v>
      </c>
      <c r="O99" s="3" t="s">
        <v>62</v>
      </c>
      <c r="P99" s="4">
        <v>18</v>
      </c>
      <c r="Q99" s="4">
        <v>892</v>
      </c>
      <c r="R99" s="4">
        <v>7</v>
      </c>
      <c r="S99" s="28">
        <v>95.332064548772493</v>
      </c>
      <c r="T99" s="3" t="s">
        <v>46</v>
      </c>
      <c r="U99" s="35">
        <v>4.5302262398259604E-4</v>
      </c>
      <c r="V99" s="3" t="s">
        <v>56</v>
      </c>
      <c r="W99" s="3" t="s">
        <v>48</v>
      </c>
      <c r="X99" s="40">
        <v>275.52437113130981</v>
      </c>
      <c r="Y99" s="16">
        <f t="shared" si="3"/>
        <v>5245.6808878796619</v>
      </c>
      <c r="Z99" s="47">
        <f>(Table3[[#This Row],[Revenue generated]]-Table3[[#This Row],[Costs]])/Table3[[#This Row],[Revenue generated]]</f>
        <v>0.95009706065869659</v>
      </c>
      <c r="AA99" s="46" t="str">
        <f>IF(Table3[[#This Row],[Stock levels]]&lt;Table3[[#This Row],[Order quantities]]*0.2,"Critical",IF(Table3[[#This Row],[Stock levels]]&lt;Table3[[#This Row],[Order quantities]]*0.5,"low","Adquate"))</f>
        <v>Adquate</v>
      </c>
      <c r="AB99" s="46" t="str">
        <f>IF( F99 &gt;=Calculations!$B$3,"High",
   IF(F99 &gt;=Calculations!$B$2,"Medium",
   "Low"))</f>
        <v>Medium</v>
      </c>
      <c r="AC99" s="46" t="str">
        <f>_xlfn.IFS(Table3[[#This Row],[Defect rates]] &lt; 0.02,"Excellent",Table3[[#This Row],[Defect rates]] &lt; 0.05,"Acceptable",Table3[[#This Row],[Defect rates]] &lt; 0.1,"Concerning",Table3[[#This Row],[Defect rates]] &gt; 0.1,"Critical")</f>
        <v>Excellent</v>
      </c>
      <c r="AD99" s="48">
        <f xml:space="preserve"> Table3[[#This Row],[order Lead times]]+Table3[[#This Row],[Manufacturing lead time]]</f>
        <v>26</v>
      </c>
      <c r="AE99" s="49">
        <f>Table3[[#This Row],[Shipping costs]]/Table3[[#This Row],[Number of products sold]]</f>
        <v>1.0383567884472398E-2</v>
      </c>
      <c r="AF99" s="48" t="str">
        <f>IF(AND(Table3[[#This Row],[Total Lead Time]]&gt;Calculations!$B$6,
        Table3[[#This Row],[Defect rates]]&gt;Calculations!$B$7),
   "Underperforming",
   IF(Table3[[#This Row],[Total Lead Time]]&gt;Calculations!$B$6,
      "Slow",
      IF(Table3[[#This Row],[Defect rates]]&gt;Calculations!$B$7,
         "Quality Issue",
         "Good")))</f>
        <v>Good</v>
      </c>
    </row>
    <row r="100" spans="1:32" x14ac:dyDescent="0.3">
      <c r="A100" s="2" t="s">
        <v>156</v>
      </c>
      <c r="B100" s="3" t="s">
        <v>65</v>
      </c>
      <c r="C100" s="16">
        <v>90.635459982288666</v>
      </c>
      <c r="D100" s="4">
        <v>95</v>
      </c>
      <c r="E100" s="23">
        <v>960</v>
      </c>
      <c r="F100" s="28">
        <v>6099.944115581452</v>
      </c>
      <c r="G100" s="3" t="s">
        <v>35</v>
      </c>
      <c r="H100" s="4">
        <v>46</v>
      </c>
      <c r="I100" s="4">
        <v>23</v>
      </c>
      <c r="J100" s="4">
        <v>60</v>
      </c>
      <c r="K100" s="4">
        <v>1</v>
      </c>
      <c r="L100" s="3" t="s">
        <v>36</v>
      </c>
      <c r="M100" s="28">
        <v>4.5239431243166628</v>
      </c>
      <c r="N100" s="3" t="s">
        <v>61</v>
      </c>
      <c r="O100" s="3" t="s">
        <v>45</v>
      </c>
      <c r="P100" s="4">
        <v>28</v>
      </c>
      <c r="Q100" s="4">
        <v>362</v>
      </c>
      <c r="R100" s="4">
        <v>11</v>
      </c>
      <c r="S100" s="28">
        <v>27.592363086663696</v>
      </c>
      <c r="T100" s="3" t="s">
        <v>30</v>
      </c>
      <c r="U100" s="35">
        <v>2.1169821372994392E-4</v>
      </c>
      <c r="V100" s="3" t="s">
        <v>40</v>
      </c>
      <c r="W100" s="3" t="s">
        <v>48</v>
      </c>
      <c r="X100" s="40">
        <v>126.72303340940725</v>
      </c>
      <c r="Y100" s="16">
        <f t="shared" si="3"/>
        <v>5973.2210821720446</v>
      </c>
      <c r="Z100" s="47">
        <f>(Table3[[#This Row],[Revenue generated]]-Table3[[#This Row],[Costs]])/Table3[[#This Row],[Revenue generated]]</f>
        <v>0.97922554190525923</v>
      </c>
      <c r="AA100" s="46" t="str">
        <f>IF(Table3[[#This Row],[Stock levels]]&lt;Table3[[#This Row],[Order quantities]]*0.2,"Critical",IF(Table3[[#This Row],[Stock levels]]&lt;Table3[[#This Row],[Order quantities]]*0.5,"low","Adquate"))</f>
        <v>Adquate</v>
      </c>
      <c r="AB100" s="46" t="str">
        <f>IF( F100 &gt;=Calculations!$B$3,"High",
   IF(F100 &gt;=Calculations!$B$2,"Medium",
   "Low"))</f>
        <v>Medium</v>
      </c>
      <c r="AC100" s="46" t="str">
        <f>_xlfn.IFS(Table3[[#This Row],[Defect rates]] &lt; 0.02,"Excellent",Table3[[#This Row],[Defect rates]] &lt; 0.05,"Acceptable",Table3[[#This Row],[Defect rates]] &lt; 0.1,"Concerning",Table3[[#This Row],[Defect rates]] &gt; 0.1,"Critical")</f>
        <v>Excellent</v>
      </c>
      <c r="AD100" s="48">
        <f xml:space="preserve"> Table3[[#This Row],[order Lead times]]+Table3[[#This Row],[Manufacturing lead time]]</f>
        <v>34</v>
      </c>
      <c r="AE100" s="49">
        <f>Table3[[#This Row],[Shipping costs]]/Table3[[#This Row],[Number of products sold]]</f>
        <v>4.7124407544965234E-3</v>
      </c>
      <c r="AF100" s="48" t="str">
        <f>IF(AND(Table3[[#This Row],[Total Lead Time]]&gt;Calculations!$B$6,
        Table3[[#This Row],[Defect rates]]&gt;Calculations!$B$7),
   "Underperforming",
   IF(Table3[[#This Row],[Total Lead Time]]&gt;Calculations!$B$6,
      "Slow",
      IF(Table3[[#This Row],[Defect rates]]&gt;Calculations!$B$7,
         "Quality Issue",
         "Good")))</f>
        <v>Good</v>
      </c>
    </row>
    <row r="101" spans="1:32" x14ac:dyDescent="0.3">
      <c r="A101" s="7" t="s">
        <v>156</v>
      </c>
      <c r="B101" s="8" t="s">
        <v>75</v>
      </c>
      <c r="C101" s="19">
        <v>84.893868984950828</v>
      </c>
      <c r="D101" s="9">
        <v>60</v>
      </c>
      <c r="E101" s="31">
        <v>601</v>
      </c>
      <c r="F101" s="32">
        <v>7087.0526963574366</v>
      </c>
      <c r="G101" s="8" t="s">
        <v>38</v>
      </c>
      <c r="H101" s="9">
        <v>69</v>
      </c>
      <c r="I101" s="9">
        <v>25</v>
      </c>
      <c r="J101" s="9">
        <v>7</v>
      </c>
      <c r="K101" s="9">
        <v>6</v>
      </c>
      <c r="L101" s="8" t="s">
        <v>27</v>
      </c>
      <c r="M101" s="32">
        <v>6.0378837692182978</v>
      </c>
      <c r="N101" s="8" t="s">
        <v>44</v>
      </c>
      <c r="O101" s="8" t="s">
        <v>62</v>
      </c>
      <c r="P101" s="9">
        <v>19</v>
      </c>
      <c r="Q101" s="9">
        <v>791</v>
      </c>
      <c r="R101" s="9">
        <v>4</v>
      </c>
      <c r="S101" s="32">
        <v>61.735728954160933</v>
      </c>
      <c r="T101" s="8" t="s">
        <v>30</v>
      </c>
      <c r="U101" s="37">
        <v>1.8607567631014898E-4</v>
      </c>
      <c r="V101" s="8" t="s">
        <v>40</v>
      </c>
      <c r="W101" s="8" t="s">
        <v>41</v>
      </c>
      <c r="X101" s="43">
        <v>523.36091472015801</v>
      </c>
      <c r="Y101" s="19">
        <f t="shared" si="3"/>
        <v>6563.6917816372788</v>
      </c>
      <c r="Z101" s="47">
        <f>(Table3[[#This Row],[Revenue generated]]-Table3[[#This Row],[Costs]])/Table3[[#This Row],[Revenue generated]]</f>
        <v>0.92615252952907323</v>
      </c>
      <c r="AA101" s="46" t="str">
        <f>IF(Table3[[#This Row],[Stock levels]]&lt;Table3[[#This Row],[Order quantities]]*0.2,"Critical",IF(Table3[[#This Row],[Stock levels]]&lt;Table3[[#This Row],[Order quantities]]*0.5,"low","Adquate"))</f>
        <v>Adquate</v>
      </c>
      <c r="AB101" s="46" t="str">
        <f>IF( F101 &gt;=Calculations!$B$3,"High",
   IF(F101 &gt;=Calculations!$B$2,"Medium",
   "Low"))</f>
        <v>Medium</v>
      </c>
      <c r="AC101" s="46" t="str">
        <f>_xlfn.IFS(Table3[[#This Row],[Defect rates]] &lt; 0.02,"Excellent",Table3[[#This Row],[Defect rates]] &lt; 0.05,"Acceptable",Table3[[#This Row],[Defect rates]] &lt; 0.1,"Concerning",Table3[[#This Row],[Defect rates]] &gt; 0.1,"Critical")</f>
        <v>Excellent</v>
      </c>
      <c r="AD101" s="48">
        <f xml:space="preserve"> Table3[[#This Row],[order Lead times]]+Table3[[#This Row],[Manufacturing lead time]]</f>
        <v>29</v>
      </c>
      <c r="AE101" s="49">
        <f>Table3[[#This Row],[Shipping costs]]/Table3[[#This Row],[Number of products sold]]</f>
        <v>1.0046395622659398E-2</v>
      </c>
      <c r="AF101" s="48" t="str">
        <f>IF(AND(Table3[[#This Row],[Total Lead Time]]&gt;Calculations!$B$6,
        Table3[[#This Row],[Defect rates]]&gt;Calculations!$B$7),
   "Underperforming",
   IF(Table3[[#This Row],[Total Lead Time]]&gt;Calculations!$B$6,
      "Slow",
      IF(Table3[[#This Row],[Defect rates]]&gt;Calculations!$B$7,
         "Quality Issue",
         "Good")))</f>
        <v>Good</v>
      </c>
    </row>
  </sheetData>
  <conditionalFormatting sqref="B1:B1048576">
    <cfRule type="duplicateValues" dxfId="119" priority="7"/>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AFE27-2FD2-409D-9D53-34A6A1105251}">
  <dimension ref="A1:L187"/>
  <sheetViews>
    <sheetView workbookViewId="0">
      <selection activeCell="J12" sqref="J12"/>
    </sheetView>
  </sheetViews>
  <sheetFormatPr defaultRowHeight="14.4" x14ac:dyDescent="0.3"/>
  <cols>
    <col min="1" max="1" width="38.88671875" bestFit="1" customWidth="1"/>
    <col min="2" max="2" width="12.5546875" bestFit="1" customWidth="1"/>
    <col min="3" max="3" width="15.6640625" bestFit="1" customWidth="1"/>
    <col min="4" max="4" width="15.5546875" style="26" bestFit="1" customWidth="1"/>
    <col min="5" max="5" width="5" style="26" bestFit="1" customWidth="1"/>
    <col min="6" max="6" width="10.77734375" style="39" bestFit="1" customWidth="1"/>
    <col min="7" max="7" width="13.109375" bestFit="1" customWidth="1"/>
    <col min="8" max="8" width="6.44140625" bestFit="1" customWidth="1"/>
    <col min="9" max="9" width="13.109375" bestFit="1" customWidth="1"/>
    <col min="10" max="10" width="15.5546875" bestFit="1" customWidth="1"/>
    <col min="11" max="11" width="19.77734375" bestFit="1" customWidth="1"/>
    <col min="12" max="12" width="10.77734375" bestFit="1" customWidth="1"/>
    <col min="13" max="15" width="6.44140625" bestFit="1" customWidth="1"/>
    <col min="16" max="16" width="5.44140625" bestFit="1" customWidth="1"/>
    <col min="17" max="26" width="6.44140625" bestFit="1" customWidth="1"/>
    <col min="27" max="27" width="5.44140625" bestFit="1" customWidth="1"/>
    <col min="28" max="37" width="6.44140625" bestFit="1" customWidth="1"/>
    <col min="38" max="38" width="5.44140625" bestFit="1" customWidth="1"/>
    <col min="39" max="48" width="6.44140625" bestFit="1" customWidth="1"/>
    <col min="49" max="49" width="5.44140625" bestFit="1" customWidth="1"/>
    <col min="50" max="59" width="6.44140625" bestFit="1" customWidth="1"/>
    <col min="60" max="60" width="5.44140625" bestFit="1" customWidth="1"/>
    <col min="61" max="70" width="6.44140625" bestFit="1" customWidth="1"/>
    <col min="71" max="71" width="5.44140625" bestFit="1" customWidth="1"/>
    <col min="72" max="81" width="6.44140625" bestFit="1" customWidth="1"/>
    <col min="82" max="82" width="5.44140625" bestFit="1" customWidth="1"/>
    <col min="83" max="92" width="6.44140625" bestFit="1" customWidth="1"/>
    <col min="93" max="93" width="5.44140625" bestFit="1" customWidth="1"/>
    <col min="94" max="103" width="6.44140625" bestFit="1" customWidth="1"/>
    <col min="104" max="104" width="10.77734375" bestFit="1" customWidth="1"/>
  </cols>
  <sheetData>
    <row r="1" spans="1:7" x14ac:dyDescent="0.3">
      <c r="A1" s="66" t="s">
        <v>235</v>
      </c>
      <c r="B1" s="67"/>
      <c r="C1" s="67"/>
      <c r="D1" s="67"/>
      <c r="E1" s="67"/>
      <c r="F1" s="67"/>
      <c r="G1" s="67"/>
    </row>
    <row r="4" spans="1:7" x14ac:dyDescent="0.3">
      <c r="A4" s="58" t="s">
        <v>183</v>
      </c>
      <c r="C4" s="50" t="s">
        <v>158</v>
      </c>
      <c r="D4" t="s">
        <v>178</v>
      </c>
      <c r="E4" s="26" t="s">
        <v>179</v>
      </c>
      <c r="F4" s="26" t="s">
        <v>180</v>
      </c>
      <c r="G4" t="s">
        <v>231</v>
      </c>
    </row>
    <row r="5" spans="1:7" x14ac:dyDescent="0.3">
      <c r="C5" s="52" t="s">
        <v>155</v>
      </c>
      <c r="D5" s="1">
        <v>17798</v>
      </c>
      <c r="E5" s="26">
        <v>232435.26597185468</v>
      </c>
      <c r="F5" s="26">
        <v>212918.03160952003</v>
      </c>
      <c r="G5" s="54">
        <v>0.8867610941079459</v>
      </c>
    </row>
    <row r="6" spans="1:7" x14ac:dyDescent="0.3">
      <c r="C6" s="52" t="s">
        <v>156</v>
      </c>
      <c r="D6" s="1">
        <v>16539</v>
      </c>
      <c r="E6" s="26">
        <v>190341.78108316276</v>
      </c>
      <c r="F6" s="26">
        <v>170795.73858196684</v>
      </c>
      <c r="G6" s="54">
        <v>0.85426446121477229</v>
      </c>
    </row>
    <row r="7" spans="1:7" x14ac:dyDescent="0.3">
      <c r="C7" s="52" t="s">
        <v>157</v>
      </c>
      <c r="D7" s="1">
        <v>11762</v>
      </c>
      <c r="E7" s="26">
        <v>154827.7716829913</v>
      </c>
      <c r="F7" s="26">
        <v>140966.4703307077</v>
      </c>
      <c r="G7" s="54">
        <v>0.88187009298210906</v>
      </c>
    </row>
    <row r="8" spans="1:7" x14ac:dyDescent="0.3">
      <c r="C8" s="52" t="s">
        <v>174</v>
      </c>
      <c r="D8" s="1">
        <v>46099</v>
      </c>
      <c r="E8" s="26">
        <v>577604.81873800838</v>
      </c>
      <c r="F8" s="26">
        <v>524680.24052219454</v>
      </c>
      <c r="G8" s="54">
        <v>0.87444057863154978</v>
      </c>
    </row>
    <row r="9" spans="1:7" x14ac:dyDescent="0.3">
      <c r="C9" s="52"/>
      <c r="D9" s="1"/>
      <c r="F9" s="26"/>
      <c r="G9" s="54"/>
    </row>
    <row r="12" spans="1:7" x14ac:dyDescent="0.3">
      <c r="D12"/>
      <c r="E12"/>
    </row>
    <row r="13" spans="1:7" x14ac:dyDescent="0.3">
      <c r="A13" s="58" t="s">
        <v>184</v>
      </c>
      <c r="C13" s="50" t="s">
        <v>239</v>
      </c>
      <c r="D13" t="s">
        <v>187</v>
      </c>
      <c r="E13" s="26" t="s">
        <v>185</v>
      </c>
      <c r="F13" s="56" t="s">
        <v>186</v>
      </c>
      <c r="G13" t="s">
        <v>179</v>
      </c>
    </row>
    <row r="14" spans="1:7" x14ac:dyDescent="0.3">
      <c r="C14" s="52" t="s">
        <v>52</v>
      </c>
      <c r="D14" s="21">
        <v>32.333333333333336</v>
      </c>
      <c r="E14" s="26">
        <v>62.709726881875241</v>
      </c>
      <c r="F14" s="56">
        <v>2.33739740059134E-2</v>
      </c>
      <c r="G14" s="26">
        <v>86468.961798802775</v>
      </c>
    </row>
    <row r="15" spans="1:7" x14ac:dyDescent="0.3">
      <c r="C15" s="52" t="s">
        <v>61</v>
      </c>
      <c r="D15" s="21">
        <v>31.818181818181817</v>
      </c>
      <c r="E15" s="26">
        <v>41.622514186334563</v>
      </c>
      <c r="F15" s="56">
        <v>2.3627501450718815E-2</v>
      </c>
      <c r="G15" s="26">
        <v>125467.41860530032</v>
      </c>
    </row>
    <row r="16" spans="1:7" x14ac:dyDescent="0.3">
      <c r="C16" s="52" t="s">
        <v>44</v>
      </c>
      <c r="D16" s="21">
        <v>31.055555555555557</v>
      </c>
      <c r="E16" s="26">
        <v>44.768243011189526</v>
      </c>
      <c r="F16" s="56">
        <v>2.6654083441492019E-2</v>
      </c>
      <c r="G16" s="26">
        <v>110343.46365628694</v>
      </c>
    </row>
    <row r="17" spans="3:12" x14ac:dyDescent="0.3">
      <c r="C17" s="52" t="s">
        <v>39</v>
      </c>
      <c r="D17" s="21">
        <v>29.37037037037037</v>
      </c>
      <c r="E17" s="26">
        <v>45.254027195027838</v>
      </c>
      <c r="F17" s="56">
        <v>1.8036297116882531E-2</v>
      </c>
      <c r="G17" s="26">
        <v>157528.99503945644</v>
      </c>
    </row>
    <row r="18" spans="3:12" x14ac:dyDescent="0.3">
      <c r="C18" s="52" t="s">
        <v>28</v>
      </c>
      <c r="D18" s="21">
        <v>29.266666666666666</v>
      </c>
      <c r="E18" s="26">
        <v>43.634121313780966</v>
      </c>
      <c r="F18" s="56">
        <v>2.4657860307644698E-2</v>
      </c>
      <c r="G18" s="26">
        <v>97795.979638162273</v>
      </c>
    </row>
    <row r="19" spans="3:12" x14ac:dyDescent="0.3">
      <c r="C19" s="52" t="s">
        <v>174</v>
      </c>
      <c r="D19" s="21">
        <v>30.73</v>
      </c>
      <c r="E19" s="26">
        <v>47.266693241469923</v>
      </c>
      <c r="F19" s="56">
        <v>2.2771579927396104E-2</v>
      </c>
      <c r="G19" s="26">
        <v>577604.81873800885</v>
      </c>
    </row>
    <row r="20" spans="3:12" x14ac:dyDescent="0.3">
      <c r="D20"/>
      <c r="E20"/>
    </row>
    <row r="21" spans="3:12" x14ac:dyDescent="0.3">
      <c r="I21" s="52"/>
      <c r="J21" s="1"/>
      <c r="K21" s="1"/>
      <c r="L21" s="1"/>
    </row>
    <row r="22" spans="3:12" x14ac:dyDescent="0.3">
      <c r="C22" s="10" t="s">
        <v>229</v>
      </c>
      <c r="D22" s="10"/>
      <c r="E22"/>
      <c r="F22"/>
      <c r="I22" s="52"/>
      <c r="J22" s="1"/>
      <c r="K22" s="1"/>
      <c r="L22" s="1"/>
    </row>
    <row r="23" spans="3:12" x14ac:dyDescent="0.3">
      <c r="C23" s="50" t="s">
        <v>191</v>
      </c>
      <c r="D23" s="50" t="s">
        <v>173</v>
      </c>
      <c r="E23"/>
      <c r="F23"/>
      <c r="I23" s="52"/>
      <c r="J23" s="1"/>
      <c r="K23" s="1"/>
      <c r="L23" s="1"/>
    </row>
    <row r="24" spans="3:12" x14ac:dyDescent="0.3">
      <c r="C24" s="50" t="s">
        <v>240</v>
      </c>
      <c r="D24" t="s">
        <v>189</v>
      </c>
      <c r="E24" t="s">
        <v>190</v>
      </c>
      <c r="F24" t="s">
        <v>174</v>
      </c>
      <c r="I24" s="52"/>
      <c r="J24" s="1"/>
      <c r="K24" s="1"/>
      <c r="L24" s="1"/>
    </row>
    <row r="25" spans="3:12" x14ac:dyDescent="0.3">
      <c r="C25" s="52" t="s">
        <v>39</v>
      </c>
      <c r="D25" s="1">
        <v>22</v>
      </c>
      <c r="E25" s="1">
        <v>5</v>
      </c>
      <c r="F25" s="1">
        <v>27</v>
      </c>
      <c r="I25" s="52"/>
      <c r="J25" s="1"/>
      <c r="K25" s="1"/>
      <c r="L25" s="1"/>
    </row>
    <row r="26" spans="3:12" x14ac:dyDescent="0.3">
      <c r="C26" s="52" t="s">
        <v>61</v>
      </c>
      <c r="D26" s="1">
        <v>15</v>
      </c>
      <c r="E26" s="1">
        <v>7</v>
      </c>
      <c r="F26" s="1">
        <v>22</v>
      </c>
      <c r="I26" s="52"/>
      <c r="J26" s="1"/>
      <c r="K26" s="1"/>
      <c r="L26" s="1"/>
    </row>
    <row r="27" spans="3:12" x14ac:dyDescent="0.3">
      <c r="C27" s="52" t="s">
        <v>28</v>
      </c>
      <c r="D27" s="1">
        <v>13</v>
      </c>
      <c r="E27" s="1">
        <v>2</v>
      </c>
      <c r="F27" s="1">
        <v>15</v>
      </c>
      <c r="I27" s="52"/>
      <c r="J27" s="1"/>
      <c r="K27" s="1"/>
      <c r="L27" s="1"/>
    </row>
    <row r="28" spans="3:12" x14ac:dyDescent="0.3">
      <c r="C28" s="52" t="s">
        <v>52</v>
      </c>
      <c r="D28" s="1">
        <v>13</v>
      </c>
      <c r="E28" s="1">
        <v>5</v>
      </c>
      <c r="F28" s="1">
        <v>18</v>
      </c>
      <c r="I28" s="52"/>
      <c r="J28" s="1"/>
      <c r="K28" s="1"/>
      <c r="L28" s="1"/>
    </row>
    <row r="29" spans="3:12" x14ac:dyDescent="0.3">
      <c r="C29" s="52" t="s">
        <v>44</v>
      </c>
      <c r="D29" s="1">
        <v>12</v>
      </c>
      <c r="E29" s="1">
        <v>6</v>
      </c>
      <c r="F29" s="1">
        <v>18</v>
      </c>
      <c r="I29" s="52"/>
      <c r="J29" s="1"/>
      <c r="K29" s="1"/>
      <c r="L29" s="1"/>
    </row>
    <row r="30" spans="3:12" x14ac:dyDescent="0.3">
      <c r="C30" s="52" t="s">
        <v>174</v>
      </c>
      <c r="D30" s="1">
        <v>75</v>
      </c>
      <c r="E30" s="1">
        <v>25</v>
      </c>
      <c r="F30" s="1">
        <v>100</v>
      </c>
      <c r="I30" s="52"/>
      <c r="J30" s="1"/>
      <c r="K30" s="1"/>
      <c r="L30" s="1"/>
    </row>
    <row r="31" spans="3:12" x14ac:dyDescent="0.3">
      <c r="D31"/>
      <c r="E31"/>
      <c r="I31" s="52"/>
      <c r="J31" s="1"/>
      <c r="K31" s="1"/>
      <c r="L31" s="1"/>
    </row>
    <row r="32" spans="3:12" x14ac:dyDescent="0.3">
      <c r="D32"/>
      <c r="E32"/>
      <c r="I32" s="52"/>
      <c r="J32" s="1"/>
      <c r="K32" s="1"/>
      <c r="L32" s="1"/>
    </row>
    <row r="33" spans="1:11" x14ac:dyDescent="0.3">
      <c r="D33"/>
      <c r="E33"/>
    </row>
    <row r="34" spans="1:11" x14ac:dyDescent="0.3">
      <c r="D34"/>
      <c r="E34"/>
    </row>
    <row r="35" spans="1:11" x14ac:dyDescent="0.3">
      <c r="D35"/>
      <c r="E35"/>
    </row>
    <row r="36" spans="1:11" x14ac:dyDescent="0.3">
      <c r="A36" s="58" t="s">
        <v>192</v>
      </c>
      <c r="C36" s="50" t="s">
        <v>233</v>
      </c>
      <c r="D36" s="50" t="s">
        <v>173</v>
      </c>
      <c r="E36"/>
      <c r="F36"/>
    </row>
    <row r="37" spans="1:11" x14ac:dyDescent="0.3">
      <c r="C37" s="50" t="s">
        <v>241</v>
      </c>
      <c r="D37" t="s">
        <v>163</v>
      </c>
      <c r="E37" t="s">
        <v>164</v>
      </c>
      <c r="F37" t="s">
        <v>162</v>
      </c>
      <c r="G37" t="s">
        <v>174</v>
      </c>
    </row>
    <row r="38" spans="1:11" x14ac:dyDescent="0.3">
      <c r="C38" s="52" t="s">
        <v>157</v>
      </c>
      <c r="D38" s="1">
        <v>18</v>
      </c>
      <c r="E38" s="1">
        <v>4</v>
      </c>
      <c r="F38" s="1">
        <v>4</v>
      </c>
      <c r="G38" s="1">
        <v>26</v>
      </c>
    </row>
    <row r="39" spans="1:11" x14ac:dyDescent="0.3">
      <c r="C39" s="52" t="s">
        <v>156</v>
      </c>
      <c r="D39" s="1">
        <v>24</v>
      </c>
      <c r="E39" s="1">
        <v>5</v>
      </c>
      <c r="F39" s="1">
        <v>5</v>
      </c>
      <c r="G39" s="1">
        <v>34</v>
      </c>
    </row>
    <row r="40" spans="1:11" x14ac:dyDescent="0.3">
      <c r="C40" s="52" t="s">
        <v>155</v>
      </c>
      <c r="D40" s="1">
        <v>28</v>
      </c>
      <c r="E40" s="1">
        <v>7</v>
      </c>
      <c r="F40" s="1">
        <v>5</v>
      </c>
      <c r="G40" s="1">
        <v>40</v>
      </c>
    </row>
    <row r="41" spans="1:11" x14ac:dyDescent="0.3">
      <c r="C41" s="52" t="s">
        <v>174</v>
      </c>
      <c r="D41" s="1">
        <v>70</v>
      </c>
      <c r="E41" s="1">
        <v>16</v>
      </c>
      <c r="F41" s="1">
        <v>14</v>
      </c>
      <c r="G41" s="1">
        <v>100</v>
      </c>
    </row>
    <row r="42" spans="1:11" x14ac:dyDescent="0.3">
      <c r="D42"/>
      <c r="E42"/>
    </row>
    <row r="43" spans="1:11" x14ac:dyDescent="0.3">
      <c r="C43" s="69" t="s">
        <v>230</v>
      </c>
      <c r="D43" s="69"/>
      <c r="E43"/>
      <c r="I43" s="52"/>
      <c r="J43" s="1"/>
      <c r="K43" s="21"/>
    </row>
    <row r="44" spans="1:11" x14ac:dyDescent="0.3">
      <c r="C44" s="50" t="s">
        <v>161</v>
      </c>
      <c r="D44" t="s">
        <v>194</v>
      </c>
      <c r="E44"/>
      <c r="I44" s="52"/>
      <c r="J44" s="1"/>
      <c r="K44" s="21"/>
    </row>
    <row r="45" spans="1:11" x14ac:dyDescent="0.3">
      <c r="D45"/>
      <c r="E45"/>
      <c r="I45" s="52"/>
      <c r="J45" s="1"/>
      <c r="K45" s="21"/>
    </row>
    <row r="46" spans="1:11" x14ac:dyDescent="0.3">
      <c r="C46" s="50" t="s">
        <v>241</v>
      </c>
      <c r="D46" t="s">
        <v>195</v>
      </c>
      <c r="E46" s="21" t="s">
        <v>196</v>
      </c>
      <c r="I46" s="52"/>
      <c r="J46" s="1"/>
      <c r="K46" s="21"/>
    </row>
    <row r="47" spans="1:11" x14ac:dyDescent="0.3">
      <c r="C47" s="52" t="s">
        <v>157</v>
      </c>
      <c r="D47" s="1">
        <v>1201</v>
      </c>
      <c r="E47" s="21">
        <v>50.730769230769234</v>
      </c>
      <c r="I47" s="52"/>
      <c r="J47" s="1"/>
      <c r="K47" s="21"/>
    </row>
    <row r="48" spans="1:11" x14ac:dyDescent="0.3">
      <c r="C48" s="52" t="s">
        <v>156</v>
      </c>
      <c r="D48" s="1">
        <v>1590</v>
      </c>
      <c r="E48" s="21">
        <v>49.147058823529413</v>
      </c>
    </row>
    <row r="49" spans="1:7" x14ac:dyDescent="0.3">
      <c r="C49" s="52" t="s">
        <v>155</v>
      </c>
      <c r="D49" s="1">
        <v>1986</v>
      </c>
      <c r="E49" s="21">
        <v>48.3</v>
      </c>
    </row>
    <row r="50" spans="1:7" x14ac:dyDescent="0.3">
      <c r="C50" s="52" t="s">
        <v>174</v>
      </c>
      <c r="D50" s="1">
        <v>4777</v>
      </c>
      <c r="E50" s="21">
        <v>49.22</v>
      </c>
    </row>
    <row r="51" spans="1:7" x14ac:dyDescent="0.3">
      <c r="C51" s="52"/>
      <c r="D51" s="1"/>
      <c r="E51" s="21"/>
    </row>
    <row r="52" spans="1:7" x14ac:dyDescent="0.3">
      <c r="C52" s="52"/>
      <c r="D52" s="1"/>
      <c r="E52" s="21"/>
    </row>
    <row r="53" spans="1:7" x14ac:dyDescent="0.3">
      <c r="D53"/>
      <c r="E53"/>
    </row>
    <row r="54" spans="1:7" x14ac:dyDescent="0.3">
      <c r="A54" s="58" t="s">
        <v>197</v>
      </c>
    </row>
    <row r="55" spans="1:7" x14ac:dyDescent="0.3">
      <c r="A55" s="68" t="s">
        <v>238</v>
      </c>
      <c r="B55" s="68"/>
      <c r="C55" s="50" t="s">
        <v>242</v>
      </c>
      <c r="D55" s="26" t="s">
        <v>198</v>
      </c>
      <c r="E55" s="26" t="s">
        <v>199</v>
      </c>
      <c r="F55" s="21" t="s">
        <v>200</v>
      </c>
      <c r="G55" s="26" t="s">
        <v>201</v>
      </c>
    </row>
    <row r="56" spans="1:7" x14ac:dyDescent="0.3">
      <c r="C56" s="52" t="s">
        <v>36</v>
      </c>
      <c r="D56" s="26">
        <v>5.5549225216512719</v>
      </c>
      <c r="E56" s="26">
        <v>1.9707198020259727E-2</v>
      </c>
      <c r="F56" s="21">
        <v>6.1428571428571432</v>
      </c>
      <c r="G56" s="26">
        <v>142629.99460668521</v>
      </c>
    </row>
    <row r="57" spans="1:7" x14ac:dyDescent="0.3">
      <c r="C57" s="52" t="s">
        <v>27</v>
      </c>
      <c r="D57" s="26">
        <v>5.5092469689287311</v>
      </c>
      <c r="E57" s="26">
        <v>4.6356587144540162E-2</v>
      </c>
      <c r="F57" s="21">
        <v>5.3023255813953485</v>
      </c>
      <c r="G57" s="26">
        <v>250094.64698794953</v>
      </c>
    </row>
    <row r="58" spans="1:7" x14ac:dyDescent="0.3">
      <c r="C58" s="52" t="s">
        <v>43</v>
      </c>
      <c r="D58" s="26">
        <v>5.5992916183375065</v>
      </c>
      <c r="E58" s="26">
        <v>4.2386486400611753E-2</v>
      </c>
      <c r="F58" s="21">
        <v>6.0344827586206895</v>
      </c>
      <c r="G58" s="26">
        <v>184880.17714337393</v>
      </c>
    </row>
    <row r="59" spans="1:7" x14ac:dyDescent="0.3">
      <c r="C59" s="52" t="s">
        <v>174</v>
      </c>
      <c r="D59" s="26">
        <v>5.5481490720195872</v>
      </c>
      <c r="E59" s="26">
        <v>3.7743428974002402E-2</v>
      </c>
      <c r="F59" s="21">
        <v>5.75</v>
      </c>
      <c r="G59" s="26">
        <v>577604.81873800862</v>
      </c>
    </row>
    <row r="60" spans="1:7" x14ac:dyDescent="0.3">
      <c r="A60" s="69"/>
      <c r="B60" s="69"/>
    </row>
    <row r="62" spans="1:7" x14ac:dyDescent="0.3">
      <c r="A62" s="68" t="s">
        <v>237</v>
      </c>
      <c r="B62" s="68"/>
      <c r="C62" s="50" t="s">
        <v>243</v>
      </c>
      <c r="D62" s="26" t="s">
        <v>198</v>
      </c>
      <c r="E62" s="26" t="s">
        <v>202</v>
      </c>
      <c r="F62" t="s">
        <v>203</v>
      </c>
    </row>
    <row r="63" spans="1:7" x14ac:dyDescent="0.3">
      <c r="C63" s="52" t="s">
        <v>40</v>
      </c>
      <c r="D63" s="26">
        <v>6.0178393777286203</v>
      </c>
      <c r="E63" s="26">
        <v>5.115384615384615</v>
      </c>
      <c r="F63" s="1">
        <v>26</v>
      </c>
    </row>
    <row r="64" spans="1:7" x14ac:dyDescent="0.3">
      <c r="C64" s="52" t="s">
        <v>47</v>
      </c>
      <c r="D64" s="26">
        <v>5.4690979361028607</v>
      </c>
      <c r="E64" s="26">
        <v>6.5714285714285712</v>
      </c>
      <c r="F64" s="1">
        <v>28</v>
      </c>
    </row>
    <row r="65" spans="1:7" x14ac:dyDescent="0.3">
      <c r="C65" s="52" t="s">
        <v>31</v>
      </c>
      <c r="D65" s="26">
        <v>5.5421153900458</v>
      </c>
      <c r="E65" s="26">
        <v>4.7241379310344831</v>
      </c>
      <c r="F65" s="1">
        <v>29</v>
      </c>
    </row>
    <row r="66" spans="1:7" x14ac:dyDescent="0.3">
      <c r="C66" s="52" t="s">
        <v>56</v>
      </c>
      <c r="D66" s="26">
        <v>4.9702938152239042</v>
      </c>
      <c r="E66" s="26">
        <v>7.117647058823529</v>
      </c>
      <c r="F66" s="1">
        <v>17</v>
      </c>
    </row>
    <row r="67" spans="1:7" x14ac:dyDescent="0.3">
      <c r="C67" s="52" t="s">
        <v>174</v>
      </c>
      <c r="D67" s="26">
        <v>5.5481490720195872</v>
      </c>
      <c r="E67" s="26">
        <v>5.75</v>
      </c>
      <c r="F67" s="1">
        <v>100</v>
      </c>
    </row>
    <row r="68" spans="1:7" x14ac:dyDescent="0.3">
      <c r="D68"/>
      <c r="E68"/>
    </row>
    <row r="69" spans="1:7" x14ac:dyDescent="0.3">
      <c r="D69"/>
      <c r="E69"/>
    </row>
    <row r="70" spans="1:7" x14ac:dyDescent="0.3">
      <c r="A70" s="68" t="s">
        <v>236</v>
      </c>
      <c r="B70" s="68"/>
      <c r="C70" s="50" t="s">
        <v>204</v>
      </c>
      <c r="D70" s="50" t="s">
        <v>173</v>
      </c>
      <c r="E70"/>
      <c r="F70"/>
    </row>
    <row r="71" spans="1:7" x14ac:dyDescent="0.3">
      <c r="C71" s="50" t="s">
        <v>244</v>
      </c>
      <c r="D71" t="s">
        <v>157</v>
      </c>
      <c r="E71" t="s">
        <v>156</v>
      </c>
      <c r="F71" t="s">
        <v>155</v>
      </c>
      <c r="G71" t="s">
        <v>174</v>
      </c>
    </row>
    <row r="72" spans="1:7" x14ac:dyDescent="0.3">
      <c r="C72" s="52" t="s">
        <v>36</v>
      </c>
      <c r="D72" s="26">
        <v>6.0523042013118822</v>
      </c>
      <c r="E72" s="26">
        <v>5.580929219731293</v>
      </c>
      <c r="F72" s="26">
        <v>5.0862076413634298</v>
      </c>
      <c r="G72" s="26">
        <v>5.554922521651271</v>
      </c>
    </row>
    <row r="73" spans="1:7" x14ac:dyDescent="0.3">
      <c r="C73" s="52" t="s">
        <v>27</v>
      </c>
      <c r="D73" s="26">
        <v>6.3034861315974258</v>
      </c>
      <c r="E73" s="26">
        <v>5.0409367779839016</v>
      </c>
      <c r="F73" s="26">
        <v>5.5284031128786735</v>
      </c>
      <c r="G73" s="26">
        <v>5.5092469689287302</v>
      </c>
    </row>
    <row r="74" spans="1:7" x14ac:dyDescent="0.3">
      <c r="C74" s="52" t="s">
        <v>43</v>
      </c>
      <c r="D74" s="26">
        <v>6.217835118310151</v>
      </c>
      <c r="E74" s="26">
        <v>5.1477320194884157</v>
      </c>
      <c r="F74" s="26">
        <v>5.6572326262949142</v>
      </c>
      <c r="G74" s="26">
        <v>5.5992916183375057</v>
      </c>
    </row>
    <row r="75" spans="1:7" x14ac:dyDescent="0.3">
      <c r="C75" s="52" t="s">
        <v>174</v>
      </c>
      <c r="D75" s="26">
        <v>6.1838178086794873</v>
      </c>
      <c r="E75" s="26">
        <v>5.1866630941245306</v>
      </c>
      <c r="F75" s="26">
        <v>5.4422274744014487</v>
      </c>
      <c r="G75" s="26">
        <v>5.5481490720195872</v>
      </c>
    </row>
    <row r="76" spans="1:7" x14ac:dyDescent="0.3">
      <c r="D76"/>
      <c r="E76"/>
    </row>
    <row r="77" spans="1:7" x14ac:dyDescent="0.3">
      <c r="D77"/>
      <c r="E77"/>
    </row>
    <row r="78" spans="1:7" x14ac:dyDescent="0.3">
      <c r="D78"/>
      <c r="E78"/>
    </row>
    <row r="79" spans="1:7" x14ac:dyDescent="0.3">
      <c r="A79" s="58" t="s">
        <v>205</v>
      </c>
      <c r="C79" s="50" t="s">
        <v>241</v>
      </c>
      <c r="D79" s="56" t="s">
        <v>208</v>
      </c>
      <c r="E79"/>
    </row>
    <row r="80" spans="1:7" x14ac:dyDescent="0.3">
      <c r="A80" s="59" t="s">
        <v>206</v>
      </c>
      <c r="C80" s="52" t="s">
        <v>157</v>
      </c>
      <c r="D80" s="56">
        <v>2.1090459807776296E-2</v>
      </c>
      <c r="E80"/>
    </row>
    <row r="81" spans="1:7" x14ac:dyDescent="0.3">
      <c r="C81" s="52" t="s">
        <v>156</v>
      </c>
      <c r="D81" s="56">
        <v>2.3892799395322305E-2</v>
      </c>
      <c r="E81"/>
    </row>
    <row r="82" spans="1:7" x14ac:dyDescent="0.3">
      <c r="C82" s="52" t="s">
        <v>155</v>
      </c>
      <c r="D82" s="56">
        <v>2.2911271457411703E-2</v>
      </c>
      <c r="E82"/>
    </row>
    <row r="83" spans="1:7" x14ac:dyDescent="0.3">
      <c r="C83" s="52" t="s">
        <v>174</v>
      </c>
      <c r="D83" s="56">
        <v>2.2771579927396104E-2</v>
      </c>
      <c r="E83"/>
    </row>
    <row r="84" spans="1:7" x14ac:dyDescent="0.3">
      <c r="D84"/>
      <c r="E84"/>
    </row>
    <row r="85" spans="1:7" x14ac:dyDescent="0.3">
      <c r="A85" s="59" t="s">
        <v>210</v>
      </c>
      <c r="C85" s="50" t="s">
        <v>209</v>
      </c>
      <c r="D85" s="50" t="s">
        <v>173</v>
      </c>
      <c r="E85"/>
      <c r="F85"/>
    </row>
    <row r="86" spans="1:7" x14ac:dyDescent="0.3">
      <c r="C86" s="50" t="s">
        <v>245</v>
      </c>
      <c r="D86" t="s">
        <v>157</v>
      </c>
      <c r="E86" t="s">
        <v>156</v>
      </c>
      <c r="F86" t="s">
        <v>155</v>
      </c>
      <c r="G86" t="s">
        <v>174</v>
      </c>
    </row>
    <row r="87" spans="1:7" x14ac:dyDescent="0.3">
      <c r="C87" s="52" t="s">
        <v>46</v>
      </c>
      <c r="D87" s="1">
        <v>9</v>
      </c>
      <c r="E87" s="1">
        <v>10</v>
      </c>
      <c r="F87" s="1">
        <v>17</v>
      </c>
      <c r="G87" s="1">
        <v>36</v>
      </c>
    </row>
    <row r="88" spans="1:7" x14ac:dyDescent="0.3">
      <c r="C88" s="52" t="s">
        <v>64</v>
      </c>
      <c r="D88" s="1">
        <v>9</v>
      </c>
      <c r="E88" s="1">
        <v>10</v>
      </c>
      <c r="F88" s="1">
        <v>4</v>
      </c>
      <c r="G88" s="1">
        <v>23</v>
      </c>
    </row>
    <row r="89" spans="1:7" x14ac:dyDescent="0.3">
      <c r="C89" s="52" t="s">
        <v>30</v>
      </c>
      <c r="D89" s="1">
        <v>8</v>
      </c>
      <c r="E89" s="1">
        <v>14</v>
      </c>
      <c r="F89" s="1">
        <v>19</v>
      </c>
      <c r="G89" s="1">
        <v>41</v>
      </c>
    </row>
    <row r="90" spans="1:7" x14ac:dyDescent="0.3">
      <c r="C90" s="52" t="s">
        <v>174</v>
      </c>
      <c r="D90" s="1">
        <v>26</v>
      </c>
      <c r="E90" s="1">
        <v>34</v>
      </c>
      <c r="F90" s="1">
        <v>40</v>
      </c>
      <c r="G90" s="1">
        <v>100</v>
      </c>
    </row>
    <row r="91" spans="1:7" x14ac:dyDescent="0.3">
      <c r="D91"/>
      <c r="E91"/>
      <c r="F91"/>
    </row>
    <row r="92" spans="1:7" x14ac:dyDescent="0.3">
      <c r="A92" s="59" t="s">
        <v>213</v>
      </c>
      <c r="C92" s="50" t="s">
        <v>246</v>
      </c>
      <c r="D92" t="s">
        <v>193</v>
      </c>
      <c r="E92" s="11" t="s">
        <v>207</v>
      </c>
      <c r="F92"/>
    </row>
    <row r="93" spans="1:7" x14ac:dyDescent="0.3">
      <c r="C93" s="52" t="s">
        <v>46</v>
      </c>
      <c r="D93" s="1">
        <v>36</v>
      </c>
      <c r="E93" s="11">
        <v>2.5693021450503145E-2</v>
      </c>
      <c r="F93"/>
    </row>
    <row r="94" spans="1:7" x14ac:dyDescent="0.3">
      <c r="C94" s="52" t="s">
        <v>64</v>
      </c>
      <c r="D94" s="1">
        <v>23</v>
      </c>
      <c r="E94" s="11">
        <v>2.0390431861225477E-2</v>
      </c>
      <c r="F94"/>
    </row>
    <row r="95" spans="1:7" x14ac:dyDescent="0.3">
      <c r="C95" s="52" t="s">
        <v>30</v>
      </c>
      <c r="D95" s="1">
        <v>41</v>
      </c>
      <c r="E95" s="11">
        <v>2.1542177749105149E-2</v>
      </c>
      <c r="F95"/>
    </row>
    <row r="96" spans="1:7" x14ac:dyDescent="0.3">
      <c r="C96" s="52" t="s">
        <v>174</v>
      </c>
      <c r="D96" s="1">
        <v>100</v>
      </c>
      <c r="E96" s="11">
        <v>2.2771579927396104E-2</v>
      </c>
      <c r="F96"/>
    </row>
    <row r="97" spans="1:7" x14ac:dyDescent="0.3">
      <c r="D97"/>
      <c r="E97"/>
      <c r="F97"/>
    </row>
    <row r="98" spans="1:7" x14ac:dyDescent="0.3">
      <c r="A98" s="59" t="s">
        <v>214</v>
      </c>
      <c r="C98" s="50" t="s">
        <v>203</v>
      </c>
      <c r="D98" s="50" t="s">
        <v>173</v>
      </c>
      <c r="E98"/>
      <c r="F98"/>
    </row>
    <row r="99" spans="1:7" x14ac:dyDescent="0.3">
      <c r="C99" s="50" t="s">
        <v>239</v>
      </c>
      <c r="D99" t="s">
        <v>211</v>
      </c>
      <c r="E99" t="s">
        <v>212</v>
      </c>
      <c r="F99" t="s">
        <v>174</v>
      </c>
    </row>
    <row r="100" spans="1:7" x14ac:dyDescent="0.3">
      <c r="C100" s="52" t="s">
        <v>39</v>
      </c>
      <c r="D100" s="1">
        <v>12</v>
      </c>
      <c r="E100" s="1">
        <v>15</v>
      </c>
      <c r="F100" s="1">
        <v>27</v>
      </c>
    </row>
    <row r="101" spans="1:7" x14ac:dyDescent="0.3">
      <c r="C101" s="52" t="s">
        <v>61</v>
      </c>
      <c r="D101" s="1">
        <v>13</v>
      </c>
      <c r="E101" s="1">
        <v>9</v>
      </c>
      <c r="F101" s="1">
        <v>22</v>
      </c>
    </row>
    <row r="102" spans="1:7" x14ac:dyDescent="0.3">
      <c r="C102" s="52" t="s">
        <v>28</v>
      </c>
      <c r="D102" s="1">
        <v>9</v>
      </c>
      <c r="E102" s="1">
        <v>6</v>
      </c>
      <c r="F102" s="1">
        <v>15</v>
      </c>
    </row>
    <row r="103" spans="1:7" x14ac:dyDescent="0.3">
      <c r="C103" s="52" t="s">
        <v>52</v>
      </c>
      <c r="D103" s="1">
        <v>11</v>
      </c>
      <c r="E103" s="1">
        <v>7</v>
      </c>
      <c r="F103" s="1">
        <v>18</v>
      </c>
    </row>
    <row r="104" spans="1:7" x14ac:dyDescent="0.3">
      <c r="C104" s="52" t="s">
        <v>44</v>
      </c>
      <c r="D104" s="1">
        <v>10</v>
      </c>
      <c r="E104" s="1">
        <v>8</v>
      </c>
      <c r="F104" s="1">
        <v>18</v>
      </c>
    </row>
    <row r="105" spans="1:7" x14ac:dyDescent="0.3">
      <c r="C105" s="52" t="s">
        <v>174</v>
      </c>
      <c r="D105" s="1">
        <v>55</v>
      </c>
      <c r="E105" s="1">
        <v>45</v>
      </c>
      <c r="F105" s="1">
        <v>100</v>
      </c>
    </row>
    <row r="106" spans="1:7" x14ac:dyDescent="0.3">
      <c r="D106"/>
      <c r="E106"/>
      <c r="F106"/>
    </row>
    <row r="107" spans="1:7" x14ac:dyDescent="0.3">
      <c r="D107"/>
      <c r="E107"/>
      <c r="F107"/>
    </row>
    <row r="108" spans="1:7" x14ac:dyDescent="0.3">
      <c r="D108"/>
      <c r="E108"/>
      <c r="F108"/>
    </row>
    <row r="109" spans="1:7" x14ac:dyDescent="0.3">
      <c r="A109" s="58" t="s">
        <v>215</v>
      </c>
      <c r="C109" s="50" t="s">
        <v>169</v>
      </c>
      <c r="D109" t="s">
        <v>179</v>
      </c>
      <c r="E109" s="21" t="s">
        <v>219</v>
      </c>
      <c r="F109" s="56" t="s">
        <v>177</v>
      </c>
      <c r="G109" t="s">
        <v>220</v>
      </c>
    </row>
    <row r="110" spans="1:7" x14ac:dyDescent="0.3">
      <c r="A110" s="59" t="s">
        <v>221</v>
      </c>
      <c r="C110" s="52" t="s">
        <v>216</v>
      </c>
      <c r="D110" s="26">
        <v>297687.69271620736</v>
      </c>
      <c r="E110" s="21">
        <v>15189</v>
      </c>
      <c r="F110" s="56">
        <v>0.93756396393241981</v>
      </c>
      <c r="G110" s="26">
        <v>49.905244051880743</v>
      </c>
    </row>
    <row r="111" spans="1:7" x14ac:dyDescent="0.3">
      <c r="C111" s="52" t="s">
        <v>217</v>
      </c>
      <c r="D111" s="26">
        <v>80220.676899915285</v>
      </c>
      <c r="E111" s="21">
        <v>15296</v>
      </c>
      <c r="F111" s="56">
        <v>0.77650399869153897</v>
      </c>
      <c r="G111" s="26">
        <v>48.29888541855275</v>
      </c>
    </row>
    <row r="112" spans="1:7" x14ac:dyDescent="0.3">
      <c r="C112" s="52" t="s">
        <v>218</v>
      </c>
      <c r="D112" s="26">
        <v>199696.44912188605</v>
      </c>
      <c r="E112" s="21">
        <v>15614</v>
      </c>
      <c r="F112" s="56">
        <v>0.90734094341308713</v>
      </c>
      <c r="G112" s="26">
        <v>50.169836905702518</v>
      </c>
    </row>
    <row r="113" spans="1:7" x14ac:dyDescent="0.3">
      <c r="C113" s="52" t="s">
        <v>174</v>
      </c>
      <c r="D113" s="26">
        <v>577604.81873800873</v>
      </c>
      <c r="E113" s="21">
        <v>46099</v>
      </c>
      <c r="F113" s="56">
        <v>0.87444057863154956</v>
      </c>
      <c r="G113" s="26">
        <v>49.462461344643714</v>
      </c>
    </row>
    <row r="114" spans="1:7" x14ac:dyDescent="0.3">
      <c r="D114"/>
      <c r="E114"/>
      <c r="F114"/>
    </row>
    <row r="115" spans="1:7" x14ac:dyDescent="0.3">
      <c r="D115"/>
      <c r="E115"/>
      <c r="F115"/>
    </row>
    <row r="116" spans="1:7" x14ac:dyDescent="0.3">
      <c r="A116" s="59" t="s">
        <v>222</v>
      </c>
      <c r="C116" s="50" t="s">
        <v>158</v>
      </c>
      <c r="D116" s="26" t="s">
        <v>223</v>
      </c>
      <c r="E116" s="26" t="s">
        <v>224</v>
      </c>
      <c r="F116" s="26" t="s">
        <v>225</v>
      </c>
      <c r="G116" t="s">
        <v>226</v>
      </c>
    </row>
    <row r="117" spans="1:7" x14ac:dyDescent="0.3">
      <c r="C117" s="52" t="s">
        <v>157</v>
      </c>
      <c r="D117" s="26">
        <v>53.927257277632599</v>
      </c>
      <c r="E117" s="26">
        <v>97.44694661789282</v>
      </c>
      <c r="F117" s="26">
        <v>2.3972747055971411</v>
      </c>
      <c r="G117" s="1">
        <v>26</v>
      </c>
    </row>
    <row r="118" spans="1:7" x14ac:dyDescent="0.3">
      <c r="C118" s="52" t="s">
        <v>156</v>
      </c>
      <c r="D118" s="26">
        <v>45.357050923419521</v>
      </c>
      <c r="E118" s="26">
        <v>95.712135880936088</v>
      </c>
      <c r="F118" s="26">
        <v>3.0376887246314141</v>
      </c>
      <c r="G118" s="1">
        <v>34</v>
      </c>
    </row>
    <row r="119" spans="1:7" x14ac:dyDescent="0.3">
      <c r="C119" s="52" t="s">
        <v>155</v>
      </c>
      <c r="D119" s="26">
        <v>50.04994284624145</v>
      </c>
      <c r="E119" s="26">
        <v>99.171328638624189</v>
      </c>
      <c r="F119" s="26">
        <v>1.6999760138659377</v>
      </c>
      <c r="G119" s="1">
        <v>40</v>
      </c>
    </row>
    <row r="120" spans="1:7" x14ac:dyDescent="0.3">
      <c r="C120" s="52" t="s">
        <v>174</v>
      </c>
      <c r="D120" s="26">
        <v>49.462461344643714</v>
      </c>
      <c r="E120" s="26">
        <v>99.171328638624189</v>
      </c>
      <c r="F120" s="26">
        <v>1.6999760138659377</v>
      </c>
      <c r="G120" s="1">
        <v>100</v>
      </c>
    </row>
    <row r="121" spans="1:7" x14ac:dyDescent="0.3">
      <c r="D121"/>
      <c r="E121"/>
      <c r="F121"/>
    </row>
    <row r="122" spans="1:7" x14ac:dyDescent="0.3">
      <c r="D122"/>
      <c r="E122"/>
      <c r="F122"/>
    </row>
    <row r="123" spans="1:7" x14ac:dyDescent="0.3">
      <c r="A123" s="59" t="s">
        <v>227</v>
      </c>
      <c r="C123" s="50" t="s">
        <v>169</v>
      </c>
      <c r="D123" s="26" t="s">
        <v>199</v>
      </c>
      <c r="E123" s="54" t="s">
        <v>228</v>
      </c>
      <c r="F123"/>
    </row>
    <row r="124" spans="1:7" x14ac:dyDescent="0.3">
      <c r="C124" s="52" t="s">
        <v>216</v>
      </c>
      <c r="D124" s="26">
        <v>5.4023350215505715E-2</v>
      </c>
      <c r="E124" s="54">
        <v>0.93756396393241981</v>
      </c>
      <c r="F124"/>
    </row>
    <row r="125" spans="1:7" x14ac:dyDescent="0.3">
      <c r="C125" s="52" t="s">
        <v>217</v>
      </c>
      <c r="D125" s="26">
        <v>1.7323359319873406E-2</v>
      </c>
      <c r="E125" s="54">
        <v>0.77650399869153897</v>
      </c>
      <c r="F125"/>
    </row>
    <row r="126" spans="1:7" x14ac:dyDescent="0.3">
      <c r="C126" s="52" t="s">
        <v>218</v>
      </c>
      <c r="D126" s="26">
        <v>4.1390246439915859E-2</v>
      </c>
      <c r="E126" s="54">
        <v>0.90734094341308713</v>
      </c>
      <c r="F126"/>
    </row>
    <row r="127" spans="1:7" x14ac:dyDescent="0.3">
      <c r="C127" s="52" t="s">
        <v>174</v>
      </c>
      <c r="D127" s="26">
        <v>3.7743428974002402E-2</v>
      </c>
      <c r="E127" s="54">
        <v>0.87444057863154956</v>
      </c>
      <c r="F127"/>
    </row>
    <row r="128" spans="1:7" x14ac:dyDescent="0.3">
      <c r="D128"/>
      <c r="E128"/>
      <c r="F128"/>
    </row>
    <row r="129" spans="4:6" x14ac:dyDescent="0.3">
      <c r="D129"/>
      <c r="E129"/>
      <c r="F129"/>
    </row>
    <row r="130" spans="4:6" x14ac:dyDescent="0.3">
      <c r="D130"/>
      <c r="E130"/>
      <c r="F130"/>
    </row>
    <row r="131" spans="4:6" x14ac:dyDescent="0.3">
      <c r="D131"/>
      <c r="E131"/>
      <c r="F131"/>
    </row>
    <row r="132" spans="4:6" x14ac:dyDescent="0.3">
      <c r="D132"/>
      <c r="E132"/>
      <c r="F132"/>
    </row>
    <row r="133" spans="4:6" x14ac:dyDescent="0.3">
      <c r="D133"/>
      <c r="E133"/>
      <c r="F133"/>
    </row>
    <row r="134" spans="4:6" x14ac:dyDescent="0.3">
      <c r="D134"/>
      <c r="E134"/>
      <c r="F134"/>
    </row>
    <row r="135" spans="4:6" x14ac:dyDescent="0.3">
      <c r="D135"/>
      <c r="E135"/>
      <c r="F135"/>
    </row>
    <row r="136" spans="4:6" x14ac:dyDescent="0.3">
      <c r="D136"/>
      <c r="E136"/>
      <c r="F136"/>
    </row>
    <row r="137" spans="4:6" x14ac:dyDescent="0.3">
      <c r="D137"/>
      <c r="E137"/>
      <c r="F137"/>
    </row>
    <row r="138" spans="4:6" x14ac:dyDescent="0.3">
      <c r="D138"/>
      <c r="E138"/>
      <c r="F138"/>
    </row>
    <row r="139" spans="4:6" x14ac:dyDescent="0.3">
      <c r="D139"/>
      <c r="E139"/>
      <c r="F139"/>
    </row>
    <row r="140" spans="4:6" x14ac:dyDescent="0.3">
      <c r="D140"/>
      <c r="E140"/>
      <c r="F140"/>
    </row>
    <row r="141" spans="4:6" x14ac:dyDescent="0.3">
      <c r="D141"/>
      <c r="E141"/>
      <c r="F141"/>
    </row>
    <row r="142" spans="4:6" x14ac:dyDescent="0.3">
      <c r="D142"/>
      <c r="E142"/>
      <c r="F142"/>
    </row>
    <row r="143" spans="4:6" x14ac:dyDescent="0.3">
      <c r="D143"/>
      <c r="E143"/>
      <c r="F143"/>
    </row>
    <row r="144" spans="4:6" x14ac:dyDescent="0.3">
      <c r="D144"/>
      <c r="E144"/>
      <c r="F144"/>
    </row>
    <row r="145" spans="4:6" x14ac:dyDescent="0.3">
      <c r="D145"/>
      <c r="E145"/>
      <c r="F145"/>
    </row>
    <row r="146" spans="4:6" x14ac:dyDescent="0.3">
      <c r="D146"/>
      <c r="E146"/>
      <c r="F146"/>
    </row>
    <row r="147" spans="4:6" x14ac:dyDescent="0.3">
      <c r="D147"/>
      <c r="E147"/>
      <c r="F147"/>
    </row>
    <row r="148" spans="4:6" x14ac:dyDescent="0.3">
      <c r="D148"/>
      <c r="E148"/>
      <c r="F148"/>
    </row>
    <row r="149" spans="4:6" x14ac:dyDescent="0.3">
      <c r="D149"/>
      <c r="E149"/>
      <c r="F149"/>
    </row>
    <row r="150" spans="4:6" x14ac:dyDescent="0.3">
      <c r="D150"/>
      <c r="E150"/>
      <c r="F150"/>
    </row>
    <row r="151" spans="4:6" x14ac:dyDescent="0.3">
      <c r="D151"/>
      <c r="E151"/>
      <c r="F151"/>
    </row>
    <row r="152" spans="4:6" x14ac:dyDescent="0.3">
      <c r="D152"/>
      <c r="E152"/>
      <c r="F152"/>
    </row>
    <row r="153" spans="4:6" x14ac:dyDescent="0.3">
      <c r="D153"/>
      <c r="E153"/>
      <c r="F153"/>
    </row>
    <row r="154" spans="4:6" x14ac:dyDescent="0.3">
      <c r="D154"/>
      <c r="E154"/>
      <c r="F154"/>
    </row>
    <row r="155" spans="4:6" x14ac:dyDescent="0.3">
      <c r="D155"/>
      <c r="E155"/>
      <c r="F155"/>
    </row>
    <row r="156" spans="4:6" x14ac:dyDescent="0.3">
      <c r="D156"/>
      <c r="E156"/>
      <c r="F156"/>
    </row>
    <row r="157" spans="4:6" x14ac:dyDescent="0.3">
      <c r="D157"/>
      <c r="E157"/>
      <c r="F157"/>
    </row>
    <row r="158" spans="4:6" x14ac:dyDescent="0.3">
      <c r="D158"/>
      <c r="E158"/>
      <c r="F158"/>
    </row>
    <row r="159" spans="4:6" x14ac:dyDescent="0.3">
      <c r="D159"/>
      <c r="E159"/>
      <c r="F159"/>
    </row>
    <row r="160" spans="4:6" x14ac:dyDescent="0.3">
      <c r="D160"/>
      <c r="E160"/>
      <c r="F160"/>
    </row>
    <row r="161" spans="4:6" x14ac:dyDescent="0.3">
      <c r="D161"/>
      <c r="E161"/>
      <c r="F161"/>
    </row>
    <row r="162" spans="4:6" x14ac:dyDescent="0.3">
      <c r="D162"/>
      <c r="E162"/>
      <c r="F162"/>
    </row>
    <row r="163" spans="4:6" x14ac:dyDescent="0.3">
      <c r="D163"/>
      <c r="E163"/>
      <c r="F163"/>
    </row>
    <row r="164" spans="4:6" x14ac:dyDescent="0.3">
      <c r="D164"/>
      <c r="E164"/>
      <c r="F164"/>
    </row>
    <row r="165" spans="4:6" x14ac:dyDescent="0.3">
      <c r="D165"/>
      <c r="E165"/>
      <c r="F165"/>
    </row>
    <row r="166" spans="4:6" x14ac:dyDescent="0.3">
      <c r="D166"/>
      <c r="E166"/>
      <c r="F166"/>
    </row>
    <row r="167" spans="4:6" x14ac:dyDescent="0.3">
      <c r="D167"/>
      <c r="E167"/>
      <c r="F167"/>
    </row>
    <row r="168" spans="4:6" x14ac:dyDescent="0.3">
      <c r="D168"/>
      <c r="E168"/>
      <c r="F168"/>
    </row>
    <row r="169" spans="4:6" x14ac:dyDescent="0.3">
      <c r="D169"/>
      <c r="E169"/>
      <c r="F169"/>
    </row>
    <row r="170" spans="4:6" x14ac:dyDescent="0.3">
      <c r="D170"/>
      <c r="E170"/>
      <c r="F170"/>
    </row>
    <row r="171" spans="4:6" x14ac:dyDescent="0.3">
      <c r="D171"/>
      <c r="E171"/>
      <c r="F171"/>
    </row>
    <row r="172" spans="4:6" x14ac:dyDescent="0.3">
      <c r="D172"/>
      <c r="E172"/>
      <c r="F172"/>
    </row>
    <row r="173" spans="4:6" x14ac:dyDescent="0.3">
      <c r="D173"/>
      <c r="E173"/>
      <c r="F173"/>
    </row>
    <row r="174" spans="4:6" x14ac:dyDescent="0.3">
      <c r="D174"/>
      <c r="E174"/>
      <c r="F174"/>
    </row>
    <row r="175" spans="4:6" x14ac:dyDescent="0.3">
      <c r="D175"/>
      <c r="E175"/>
      <c r="F175"/>
    </row>
    <row r="176" spans="4:6" x14ac:dyDescent="0.3">
      <c r="D176"/>
      <c r="E176"/>
      <c r="F176"/>
    </row>
    <row r="177" spans="4:6" x14ac:dyDescent="0.3">
      <c r="D177"/>
      <c r="E177"/>
      <c r="F177"/>
    </row>
    <row r="178" spans="4:6" x14ac:dyDescent="0.3">
      <c r="D178"/>
      <c r="E178"/>
      <c r="F178"/>
    </row>
    <row r="179" spans="4:6" x14ac:dyDescent="0.3">
      <c r="D179"/>
      <c r="E179"/>
      <c r="F179"/>
    </row>
    <row r="180" spans="4:6" x14ac:dyDescent="0.3">
      <c r="D180"/>
      <c r="E180"/>
      <c r="F180"/>
    </row>
    <row r="181" spans="4:6" x14ac:dyDescent="0.3">
      <c r="D181"/>
      <c r="E181"/>
      <c r="F181"/>
    </row>
    <row r="182" spans="4:6" x14ac:dyDescent="0.3">
      <c r="D182"/>
      <c r="E182"/>
      <c r="F182"/>
    </row>
    <row r="183" spans="4:6" x14ac:dyDescent="0.3">
      <c r="D183"/>
      <c r="E183"/>
      <c r="F183"/>
    </row>
    <row r="184" spans="4:6" x14ac:dyDescent="0.3">
      <c r="D184"/>
      <c r="E184"/>
      <c r="F184"/>
    </row>
    <row r="185" spans="4:6" x14ac:dyDescent="0.3">
      <c r="D185"/>
      <c r="E185"/>
      <c r="F185"/>
    </row>
    <row r="186" spans="4:6" x14ac:dyDescent="0.3">
      <c r="D186"/>
      <c r="E186"/>
      <c r="F186"/>
    </row>
    <row r="187" spans="4:6" x14ac:dyDescent="0.3">
      <c r="D187"/>
      <c r="E187"/>
      <c r="F187"/>
    </row>
  </sheetData>
  <mergeCells count="6">
    <mergeCell ref="A1:G1"/>
    <mergeCell ref="A55:B55"/>
    <mergeCell ref="A60:B60"/>
    <mergeCell ref="A62:B62"/>
    <mergeCell ref="A70:B70"/>
    <mergeCell ref="C43:D43"/>
  </mergeCells>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BAA19-051B-474F-8AFA-E460D74E2B0D}">
  <dimension ref="A1:B23"/>
  <sheetViews>
    <sheetView workbookViewId="0">
      <selection activeCell="B24" sqref="B24"/>
    </sheetView>
  </sheetViews>
  <sheetFormatPr defaultRowHeight="14.4" x14ac:dyDescent="0.3"/>
  <cols>
    <col min="1" max="1" width="25" bestFit="1" customWidth="1"/>
    <col min="2" max="2" width="11" bestFit="1" customWidth="1"/>
  </cols>
  <sheetData>
    <row r="1" spans="1:2" x14ac:dyDescent="0.3">
      <c r="A1" t="s">
        <v>165</v>
      </c>
      <c r="B1" t="s">
        <v>166</v>
      </c>
    </row>
    <row r="2" spans="1:2" x14ac:dyDescent="0.3">
      <c r="A2" t="s">
        <v>167</v>
      </c>
      <c r="B2" s="26">
        <f>PERCENTILE(clean_data!F2:F101,0.33)</f>
        <v>4189.5596017281478</v>
      </c>
    </row>
    <row r="3" spans="1:2" x14ac:dyDescent="0.3">
      <c r="A3" t="s">
        <v>168</v>
      </c>
      <c r="B3" s="26">
        <f>PERCENTILE(clean_data!F2:F101,0.66)</f>
        <v>7721.6847300501768</v>
      </c>
    </row>
    <row r="6" spans="1:2" x14ac:dyDescent="0.3">
      <c r="A6" t="s">
        <v>181</v>
      </c>
      <c r="B6" s="21">
        <v>39</v>
      </c>
    </row>
    <row r="7" spans="1:2" x14ac:dyDescent="0.3">
      <c r="A7" t="s">
        <v>182</v>
      </c>
      <c r="B7">
        <v>0.05</v>
      </c>
    </row>
    <row r="10" spans="1:2" x14ac:dyDescent="0.3">
      <c r="A10" t="s">
        <v>232</v>
      </c>
      <c r="B10" s="21">
        <f>AVERAGE(Table3[[#All],[Total Lead Time]])</f>
        <v>30.73</v>
      </c>
    </row>
    <row r="12" spans="1:2" x14ac:dyDescent="0.3">
      <c r="A12" t="s">
        <v>251</v>
      </c>
      <c r="B12" s="26">
        <f>SUM(clean_data!F2:F101)</f>
        <v>577604.81873800885</v>
      </c>
    </row>
    <row r="13" spans="1:2" x14ac:dyDescent="0.3">
      <c r="A13" s="60" t="s">
        <v>252</v>
      </c>
      <c r="B13" s="26">
        <f>SUM(Table3[Costs])</f>
        <v>52924.578215814065</v>
      </c>
    </row>
    <row r="14" spans="1:2" x14ac:dyDescent="0.3">
      <c r="A14" t="s">
        <v>247</v>
      </c>
      <c r="B14" s="54">
        <f>(SUM(Table3[Revenue generated])-SUM(Table3[Costs]))/SUM(Table3[Revenue generated])</f>
        <v>0.90837233953233398</v>
      </c>
    </row>
    <row r="15" spans="1:2" x14ac:dyDescent="0.3">
      <c r="A15" t="s">
        <v>248</v>
      </c>
      <c r="B15" s="54">
        <f>AVERAGE(Table3[Defect rates])</f>
        <v>2.2771579927396091E-2</v>
      </c>
    </row>
    <row r="16" spans="1:2" x14ac:dyDescent="0.3">
      <c r="A16" t="s">
        <v>249</v>
      </c>
      <c r="B16" s="21">
        <f>AVERAGE(Table3[Total Lead Time])</f>
        <v>30.73</v>
      </c>
    </row>
    <row r="17" spans="1:2" x14ac:dyDescent="0.3">
      <c r="A17" t="s">
        <v>253</v>
      </c>
      <c r="B17" s="26">
        <f>AVERAGE(Table3[Shipping costs])</f>
        <v>5.5481490720195863</v>
      </c>
    </row>
    <row r="18" spans="1:2" x14ac:dyDescent="0.3">
      <c r="A18" t="s">
        <v>250</v>
      </c>
      <c r="B18">
        <f>COUNTIF(Table3[Stock Risk],"Critical")</f>
        <v>16</v>
      </c>
    </row>
    <row r="20" spans="1:2" x14ac:dyDescent="0.3">
      <c r="A20" s="62" t="s">
        <v>262</v>
      </c>
      <c r="B20" s="63">
        <v>32.33</v>
      </c>
    </row>
    <row r="21" spans="1:2" x14ac:dyDescent="0.3">
      <c r="A21" s="62" t="s">
        <v>263</v>
      </c>
      <c r="B21" s="65">
        <v>1.7999999999999999E-2</v>
      </c>
    </row>
    <row r="22" spans="1:2" x14ac:dyDescent="0.3">
      <c r="A22" s="62" t="s">
        <v>264</v>
      </c>
      <c r="B22" s="64">
        <v>1.9699999999999999E-2</v>
      </c>
    </row>
    <row r="23" spans="1:2" x14ac:dyDescent="0.3">
      <c r="A23" s="62" t="s">
        <v>265</v>
      </c>
      <c r="B23" s="64">
        <v>4.6399999999999997E-2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19F2-CB97-4D58-82AD-92E695D1880A}">
  <dimension ref="A1:I50"/>
  <sheetViews>
    <sheetView topLeftCell="A4" workbookViewId="0">
      <selection activeCell="H18" sqref="H18"/>
    </sheetView>
  </sheetViews>
  <sheetFormatPr defaultRowHeight="14.4" x14ac:dyDescent="0.3"/>
  <cols>
    <col min="1" max="1" width="14.44140625" bestFit="1" customWidth="1"/>
    <col min="2" max="2" width="13.109375" bestFit="1" customWidth="1"/>
    <col min="3" max="3" width="14.44140625" bestFit="1" customWidth="1"/>
    <col min="4" max="4" width="10.77734375" bestFit="1" customWidth="1"/>
    <col min="5" max="5" width="12.5546875" bestFit="1" customWidth="1"/>
    <col min="6" max="6" width="14.44140625" bestFit="1" customWidth="1"/>
    <col min="7" max="7" width="13.77734375" bestFit="1" customWidth="1"/>
    <col min="8" max="8" width="25" bestFit="1" customWidth="1"/>
    <col min="9" max="11" width="14.44140625" bestFit="1" customWidth="1"/>
  </cols>
  <sheetData>
    <row r="1" spans="1:9" x14ac:dyDescent="0.3">
      <c r="A1" s="70" t="s">
        <v>261</v>
      </c>
      <c r="B1" s="70"/>
      <c r="C1" s="70"/>
      <c r="D1" s="70"/>
      <c r="E1" s="70"/>
      <c r="F1" s="70"/>
      <c r="G1" s="70"/>
      <c r="H1" s="70"/>
      <c r="I1" s="70"/>
    </row>
    <row r="2" spans="1:9" x14ac:dyDescent="0.3">
      <c r="C2" s="57"/>
      <c r="D2" s="57"/>
      <c r="E2" s="61"/>
      <c r="F2" s="50"/>
    </row>
    <row r="3" spans="1:9" x14ac:dyDescent="0.3">
      <c r="C3" s="26"/>
      <c r="D3" s="26"/>
      <c r="E3" s="33"/>
    </row>
    <row r="4" spans="1:9" x14ac:dyDescent="0.3">
      <c r="A4" s="10" t="s">
        <v>256</v>
      </c>
      <c r="B4" s="10"/>
      <c r="C4" s="10"/>
      <c r="D4" s="69" t="s">
        <v>257</v>
      </c>
      <c r="E4" s="69"/>
      <c r="G4" s="69" t="s">
        <v>259</v>
      </c>
      <c r="H4" s="69"/>
      <c r="I4" s="69"/>
    </row>
    <row r="5" spans="1:9" x14ac:dyDescent="0.3">
      <c r="A5" s="50" t="s">
        <v>158</v>
      </c>
      <c r="B5" t="s">
        <v>179</v>
      </c>
      <c r="D5" s="50" t="s">
        <v>176</v>
      </c>
      <c r="E5" t="s">
        <v>255</v>
      </c>
      <c r="G5" s="50" t="s">
        <v>158</v>
      </c>
      <c r="H5" s="26" t="s">
        <v>179</v>
      </c>
      <c r="I5" t="s">
        <v>231</v>
      </c>
    </row>
    <row r="6" spans="1:9" x14ac:dyDescent="0.3">
      <c r="A6" s="52" t="s">
        <v>155</v>
      </c>
      <c r="B6" s="26">
        <v>232435.26597185468</v>
      </c>
      <c r="D6" s="52" t="s">
        <v>163</v>
      </c>
      <c r="E6" s="1">
        <v>70</v>
      </c>
      <c r="G6" s="52" t="s">
        <v>155</v>
      </c>
      <c r="H6" s="26">
        <v>232435.26597185468</v>
      </c>
      <c r="I6" s="54">
        <v>0.8867610941079459</v>
      </c>
    </row>
    <row r="7" spans="1:9" x14ac:dyDescent="0.3">
      <c r="A7" s="52" t="s">
        <v>156</v>
      </c>
      <c r="B7" s="26">
        <v>190341.78108316276</v>
      </c>
      <c r="D7" s="52" t="s">
        <v>164</v>
      </c>
      <c r="E7" s="1">
        <v>16</v>
      </c>
      <c r="G7" s="52" t="s">
        <v>156</v>
      </c>
      <c r="H7" s="26">
        <v>190341.78108316276</v>
      </c>
      <c r="I7" s="54">
        <v>0.85426446121477229</v>
      </c>
    </row>
    <row r="8" spans="1:9" x14ac:dyDescent="0.3">
      <c r="A8" s="52" t="s">
        <v>157</v>
      </c>
      <c r="B8" s="26">
        <v>154827.7716829913</v>
      </c>
      <c r="D8" s="52" t="s">
        <v>162</v>
      </c>
      <c r="E8" s="1">
        <v>14</v>
      </c>
      <c r="G8" s="52" t="s">
        <v>157</v>
      </c>
      <c r="H8" s="26">
        <v>154827.7716829913</v>
      </c>
      <c r="I8" s="54">
        <v>0.88187009298210906</v>
      </c>
    </row>
    <row r="9" spans="1:9" x14ac:dyDescent="0.3">
      <c r="A9" s="52" t="s">
        <v>174</v>
      </c>
      <c r="B9" s="26">
        <v>577604.81873800873</v>
      </c>
      <c r="D9" s="52" t="s">
        <v>174</v>
      </c>
      <c r="E9" s="1">
        <v>100</v>
      </c>
      <c r="G9" s="52" t="s">
        <v>174</v>
      </c>
      <c r="H9" s="26">
        <v>577604.81873800838</v>
      </c>
      <c r="I9" s="54">
        <v>0.87444057863154978</v>
      </c>
    </row>
    <row r="10" spans="1:9" x14ac:dyDescent="0.3">
      <c r="B10" s="21"/>
    </row>
    <row r="13" spans="1:9" x14ac:dyDescent="0.3">
      <c r="B13" s="69" t="s">
        <v>258</v>
      </c>
      <c r="C13" s="69"/>
      <c r="E13" t="s">
        <v>260</v>
      </c>
      <c r="H13" t="s">
        <v>266</v>
      </c>
    </row>
    <row r="14" spans="1:9" x14ac:dyDescent="0.3">
      <c r="B14" s="51" t="s">
        <v>239</v>
      </c>
      <c r="C14" s="51" t="s">
        <v>187</v>
      </c>
      <c r="E14" s="50" t="s">
        <v>176</v>
      </c>
      <c r="F14" s="21" t="s">
        <v>187</v>
      </c>
      <c r="H14" s="50" t="s">
        <v>176</v>
      </c>
      <c r="I14" s="26" t="s">
        <v>175</v>
      </c>
    </row>
    <row r="15" spans="1:9" x14ac:dyDescent="0.3">
      <c r="B15" s="52" t="s">
        <v>52</v>
      </c>
      <c r="C15" s="21">
        <v>32.333333333333336</v>
      </c>
      <c r="E15" s="52" t="s">
        <v>28</v>
      </c>
      <c r="F15" s="21">
        <v>29.266666666666666</v>
      </c>
      <c r="H15" s="52" t="s">
        <v>29</v>
      </c>
      <c r="I15" s="26">
        <v>137755.02687746941</v>
      </c>
    </row>
    <row r="16" spans="1:9" x14ac:dyDescent="0.3">
      <c r="B16" s="52" t="s">
        <v>61</v>
      </c>
      <c r="C16" s="21">
        <v>31.818181818181817</v>
      </c>
      <c r="E16" s="52" t="s">
        <v>39</v>
      </c>
      <c r="F16" s="21">
        <v>29.37037037037037</v>
      </c>
      <c r="H16" s="52" t="s">
        <v>45</v>
      </c>
      <c r="I16" s="26">
        <v>137077.5510053811</v>
      </c>
    </row>
    <row r="17" spans="2:9" x14ac:dyDescent="0.3">
      <c r="B17" s="52" t="s">
        <v>44</v>
      </c>
      <c r="C17" s="21">
        <v>31.055555555555557</v>
      </c>
      <c r="E17" s="52" t="s">
        <v>44</v>
      </c>
      <c r="F17" s="21">
        <v>31.055555555555557</v>
      </c>
      <c r="H17" s="52" t="s">
        <v>62</v>
      </c>
      <c r="I17" s="26">
        <v>119142.81574806939</v>
      </c>
    </row>
    <row r="18" spans="2:9" x14ac:dyDescent="0.3">
      <c r="B18" s="52" t="s">
        <v>39</v>
      </c>
      <c r="C18" s="21">
        <v>29.37037037037037</v>
      </c>
      <c r="E18" s="52" t="s">
        <v>61</v>
      </c>
      <c r="F18" s="21">
        <v>31.818181818181817</v>
      </c>
      <c r="H18" s="52" t="s">
        <v>53</v>
      </c>
      <c r="I18" s="26">
        <v>102601.72388223576</v>
      </c>
    </row>
    <row r="19" spans="2:9" x14ac:dyDescent="0.3">
      <c r="B19" s="52" t="s">
        <v>28</v>
      </c>
      <c r="C19" s="21">
        <v>29.266666666666666</v>
      </c>
      <c r="E19" s="52" t="s">
        <v>52</v>
      </c>
      <c r="F19" s="21">
        <v>32.333333333333336</v>
      </c>
      <c r="H19" s="52" t="s">
        <v>50</v>
      </c>
      <c r="I19" s="26">
        <v>81027.701224853008</v>
      </c>
    </row>
    <row r="20" spans="2:9" x14ac:dyDescent="0.3">
      <c r="B20" s="53" t="s">
        <v>174</v>
      </c>
      <c r="C20" s="55">
        <v>30.73</v>
      </c>
      <c r="E20" s="52" t="s">
        <v>174</v>
      </c>
      <c r="F20" s="21">
        <v>30.73</v>
      </c>
      <c r="H20" s="52" t="s">
        <v>174</v>
      </c>
      <c r="I20" s="26">
        <v>577604.81873800862</v>
      </c>
    </row>
    <row r="21" spans="2:9" x14ac:dyDescent="0.3">
      <c r="E21" s="21"/>
    </row>
    <row r="22" spans="2:9" x14ac:dyDescent="0.3">
      <c r="E22" s="21"/>
    </row>
    <row r="23" spans="2:9" x14ac:dyDescent="0.3">
      <c r="E23" s="21"/>
    </row>
    <row r="24" spans="2:9" x14ac:dyDescent="0.3">
      <c r="E24" s="21"/>
    </row>
    <row r="27" spans="2:9" x14ac:dyDescent="0.3">
      <c r="E27" t="s">
        <v>234</v>
      </c>
    </row>
    <row r="33" spans="2:8" x14ac:dyDescent="0.3">
      <c r="B33" s="14"/>
      <c r="C33" s="33"/>
    </row>
    <row r="34" spans="2:8" x14ac:dyDescent="0.3">
      <c r="B34" s="14"/>
      <c r="C34" s="33"/>
    </row>
    <row r="35" spans="2:8" x14ac:dyDescent="0.3">
      <c r="B35" s="14"/>
      <c r="C35" s="33"/>
    </row>
    <row r="36" spans="2:8" x14ac:dyDescent="0.3">
      <c r="B36" s="14"/>
      <c r="C36" s="33"/>
    </row>
    <row r="37" spans="2:8" x14ac:dyDescent="0.3">
      <c r="B37" s="14"/>
      <c r="C37" s="33"/>
    </row>
    <row r="39" spans="2:8" x14ac:dyDescent="0.3">
      <c r="B39" s="38"/>
    </row>
    <row r="40" spans="2:8" x14ac:dyDescent="0.3">
      <c r="B40" s="38"/>
    </row>
    <row r="41" spans="2:8" x14ac:dyDescent="0.3">
      <c r="B41" s="38"/>
    </row>
    <row r="42" spans="2:8" x14ac:dyDescent="0.3">
      <c r="B42" s="38"/>
    </row>
    <row r="43" spans="2:8" x14ac:dyDescent="0.3">
      <c r="B43" s="38"/>
    </row>
    <row r="46" spans="2:8" x14ac:dyDescent="0.3">
      <c r="B46" s="26"/>
      <c r="G46" s="50" t="s">
        <v>242</v>
      </c>
      <c r="H46" t="s">
        <v>199</v>
      </c>
    </row>
    <row r="47" spans="2:8" x14ac:dyDescent="0.3">
      <c r="B47" s="26"/>
      <c r="G47" s="52" t="s">
        <v>36</v>
      </c>
      <c r="H47" s="26">
        <v>1.9707198020259727E-2</v>
      </c>
    </row>
    <row r="48" spans="2:8" x14ac:dyDescent="0.3">
      <c r="B48" s="26"/>
      <c r="G48" s="52" t="s">
        <v>27</v>
      </c>
      <c r="H48" s="26">
        <v>4.6356587144540162E-2</v>
      </c>
    </row>
    <row r="49" spans="2:8" x14ac:dyDescent="0.3">
      <c r="B49" s="26"/>
      <c r="G49" s="52" t="s">
        <v>43</v>
      </c>
      <c r="H49" s="26">
        <v>4.2386486400611753E-2</v>
      </c>
    </row>
    <row r="50" spans="2:8" x14ac:dyDescent="0.3">
      <c r="B50" s="26"/>
      <c r="G50" s="52" t="s">
        <v>174</v>
      </c>
      <c r="H50" s="26">
        <v>3.7743428974002402E-2</v>
      </c>
    </row>
  </sheetData>
  <mergeCells count="4">
    <mergeCell ref="D4:E4"/>
    <mergeCell ref="B13:C13"/>
    <mergeCell ref="G4:I4"/>
    <mergeCell ref="A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FD68D-8EB5-4CFA-B701-E3D7A9DDF951}">
  <sheetPr>
    <pageSetUpPr fitToPage="1"/>
  </sheetPr>
  <dimension ref="A1:AA12"/>
  <sheetViews>
    <sheetView showGridLines="0" showRowColHeaders="0" zoomScale="60" zoomScaleNormal="60" workbookViewId="0">
      <pane ySplit="1" topLeftCell="A2" activePane="bottomLeft" state="frozen"/>
      <selection pane="bottomLeft" activeCell="AA11" sqref="AA11"/>
    </sheetView>
  </sheetViews>
  <sheetFormatPr defaultRowHeight="14.4" x14ac:dyDescent="0.3"/>
  <cols>
    <col min="1" max="1" width="7.21875" customWidth="1"/>
    <col min="2" max="2" width="7.5546875" customWidth="1"/>
    <col min="3" max="3" width="8.5546875" customWidth="1"/>
    <col min="4" max="4" width="8.44140625" customWidth="1"/>
    <col min="5" max="5" width="9.88671875" customWidth="1"/>
    <col min="6" max="6" width="9" customWidth="1"/>
    <col min="7" max="7" width="9.77734375" customWidth="1"/>
    <col min="23" max="23" width="12.21875" customWidth="1"/>
  </cols>
  <sheetData>
    <row r="1" spans="1:27" ht="50.4" customHeight="1" x14ac:dyDescent="0.3">
      <c r="A1" s="71" t="s">
        <v>254</v>
      </c>
      <c r="B1" s="72"/>
      <c r="C1" s="72"/>
      <c r="D1" s="72"/>
      <c r="E1" s="72"/>
      <c r="F1" s="72"/>
      <c r="G1" s="72"/>
      <c r="H1" s="72"/>
      <c r="I1" s="72"/>
      <c r="J1" s="72"/>
      <c r="K1" s="72"/>
      <c r="L1" s="72"/>
      <c r="M1" s="72"/>
      <c r="N1" s="72"/>
      <c r="O1" s="72"/>
      <c r="P1" s="72"/>
      <c r="Q1" s="72"/>
      <c r="R1" s="72"/>
      <c r="S1" s="72"/>
      <c r="T1" s="72"/>
      <c r="U1" s="72"/>
      <c r="V1" s="72"/>
      <c r="W1" s="72"/>
    </row>
    <row r="11" spans="1:27" x14ac:dyDescent="0.3">
      <c r="AA11" t="s">
        <v>267</v>
      </c>
    </row>
    <row r="12" spans="1:27" x14ac:dyDescent="0.3">
      <c r="G12" s="50"/>
      <c r="H12" s="50"/>
      <c r="I12" s="50"/>
      <c r="J12" s="50"/>
      <c r="K12" s="50"/>
      <c r="L12" s="50"/>
      <c r="M12" s="50"/>
      <c r="N12" s="50"/>
      <c r="O12" s="50"/>
      <c r="P12" s="50"/>
      <c r="Q12" s="50"/>
      <c r="R12" s="50"/>
      <c r="S12" s="50"/>
      <c r="T12" s="50"/>
      <c r="U12" s="50"/>
      <c r="V12" s="50"/>
      <c r="W12" s="50"/>
    </row>
  </sheetData>
  <mergeCells count="1">
    <mergeCell ref="A1:W1"/>
  </mergeCells>
  <printOptions headings="1"/>
  <pageMargins left="0.7" right="0.7" top="0.75" bottom="0.75" header="0.3" footer="0.3"/>
  <pageSetup fitToWidth="9" fitToHeight="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B0E7C2-BAF0-46BE-BBA1-216D2D1CEE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Raw_dataset</vt:lpstr>
      <vt:lpstr>clean_data</vt:lpstr>
      <vt:lpstr>Analysis sheet</vt:lpstr>
      <vt:lpstr>Calculations</vt:lpstr>
      <vt:lpstr>analysis_sheet_2</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PRANESH .P</dc:creator>
  <cp:lastModifiedBy>PRANESH .P</cp:lastModifiedBy>
  <dcterms:created xsi:type="dcterms:W3CDTF">2026-05-29T05:32:53Z</dcterms:created>
  <dcterms:modified xsi:type="dcterms:W3CDTF">2026-06-02T10:02:35Z</dcterms:modified>
</cp:coreProperties>
</file>